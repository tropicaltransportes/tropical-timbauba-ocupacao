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2cb8c1b03727a7/LOGÍSTICA/CONTRATOS/TIMBAÚBA/NOVA OPERAÇÃO/"/>
    </mc:Choice>
  </mc:AlternateContent>
  <xr:revisionPtr revIDLastSave="22" documentId="11_AD4D361C20488DEA4E38A050041B6F6C5ADEDD8D" xr6:coauthVersionLast="47" xr6:coauthVersionMax="47" xr10:uidLastSave="{90F4AE5C-7594-4E9F-A44D-6B9B3CA2AB06}"/>
  <bookViews>
    <workbookView xWindow="-108" yWindow="-108" windowWidth="23256" windowHeight="12456" activeTab="1" xr2:uid="{00000000-000D-0000-FFFF-FFFF00000000}"/>
  </bookViews>
  <sheets>
    <sheet name="Roteiros" sheetId="2" r:id="rId1"/>
    <sheet name="Capacidade Veículos" sheetId="3" r:id="rId2"/>
  </sheets>
  <externalReferences>
    <externalReference r:id="rId3"/>
  </externalReferences>
  <definedNames>
    <definedName name="_xlnm._FilterDatabase" localSheetId="0" hidden="1">Roteiros!$A$2:$H$124</definedName>
    <definedName name="_xlnm.Print_Area" localSheetId="0">Roteiros!$A$1:$G$124</definedName>
    <definedName name="_xlnm.Print_Titles" localSheetId="0">Roteiros!$1:$2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" l="1"/>
  <c r="C75" i="2"/>
  <c r="C76" i="2"/>
  <c r="C77" i="2"/>
  <c r="G124" i="2"/>
  <c r="C124" i="2"/>
  <c r="G123" i="2"/>
  <c r="C123" i="2"/>
  <c r="G121" i="2"/>
  <c r="C121" i="2"/>
  <c r="G120" i="2"/>
  <c r="C120" i="2"/>
  <c r="G119" i="2"/>
  <c r="C119" i="2"/>
  <c r="G118" i="2"/>
  <c r="C118" i="2"/>
  <c r="G117" i="2"/>
  <c r="C117" i="2"/>
  <c r="G116" i="2"/>
  <c r="C116" i="2"/>
  <c r="G115" i="2"/>
  <c r="C115" i="2"/>
  <c r="G114" i="2"/>
  <c r="C114" i="2"/>
  <c r="G113" i="2"/>
  <c r="C113" i="2"/>
  <c r="G112" i="2"/>
  <c r="C112" i="2"/>
  <c r="G111" i="2"/>
  <c r="C111" i="2"/>
  <c r="G110" i="2"/>
  <c r="C110" i="2"/>
  <c r="G109" i="2"/>
  <c r="C109" i="2"/>
  <c r="G108" i="2"/>
  <c r="C108" i="2"/>
  <c r="G107" i="2"/>
  <c r="C107" i="2"/>
  <c r="C106" i="2"/>
  <c r="G105" i="2"/>
  <c r="C105" i="2"/>
  <c r="G104" i="2"/>
  <c r="C104" i="2"/>
  <c r="G103" i="2"/>
  <c r="C103" i="2"/>
  <c r="G102" i="2"/>
  <c r="C102" i="2"/>
  <c r="G101" i="2"/>
  <c r="C101" i="2"/>
  <c r="G99" i="2"/>
  <c r="C99" i="2"/>
  <c r="G98" i="2"/>
  <c r="C98" i="2"/>
  <c r="G97" i="2"/>
  <c r="C97" i="2"/>
  <c r="G96" i="2"/>
  <c r="C96" i="2"/>
  <c r="G95" i="2"/>
  <c r="C95" i="2"/>
  <c r="G94" i="2"/>
  <c r="C94" i="2"/>
  <c r="G93" i="2"/>
  <c r="C93" i="2"/>
  <c r="C92" i="2"/>
  <c r="G91" i="2"/>
  <c r="C91" i="2"/>
  <c r="G90" i="2"/>
  <c r="C90" i="2"/>
  <c r="G89" i="2"/>
  <c r="C89" i="2"/>
  <c r="G88" i="2"/>
  <c r="G87" i="2"/>
  <c r="G86" i="2"/>
  <c r="G85" i="2"/>
  <c r="G84" i="2"/>
  <c r="G83" i="2"/>
  <c r="G82" i="2"/>
  <c r="G81" i="2"/>
  <c r="G80" i="2"/>
  <c r="G79" i="2"/>
  <c r="G77" i="2"/>
  <c r="G74" i="2"/>
  <c r="G73" i="2"/>
  <c r="C73" i="2"/>
  <c r="G72" i="2"/>
  <c r="C72" i="2"/>
  <c r="G71" i="2"/>
  <c r="C71" i="2"/>
  <c r="G70" i="2"/>
  <c r="C70" i="2"/>
  <c r="G69" i="2"/>
  <c r="C69" i="2"/>
  <c r="G68" i="2"/>
  <c r="C68" i="2"/>
  <c r="G67" i="2"/>
  <c r="C67" i="2"/>
  <c r="G66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G35" i="2"/>
  <c r="C35" i="2"/>
  <c r="G34" i="2"/>
  <c r="C34" i="2"/>
  <c r="G33" i="2"/>
  <c r="C33" i="2"/>
  <c r="C32" i="2"/>
  <c r="C31" i="2"/>
  <c r="G30" i="2"/>
  <c r="C30" i="2"/>
  <c r="G29" i="2"/>
  <c r="C29" i="2"/>
  <c r="G28" i="2"/>
  <c r="C28" i="2"/>
  <c r="C27" i="2"/>
  <c r="C26" i="2"/>
  <c r="C25" i="2"/>
  <c r="G24" i="2"/>
  <c r="C24" i="2"/>
  <c r="G23" i="2"/>
  <c r="C23" i="2"/>
  <c r="C22" i="2"/>
  <c r="G21" i="2"/>
  <c r="C20" i="2"/>
  <c r="C19" i="2"/>
  <c r="C18" i="2"/>
  <c r="C17" i="2"/>
  <c r="C16" i="2"/>
  <c r="C15" i="2"/>
  <c r="C14" i="2"/>
  <c r="C13" i="2"/>
  <c r="C12" i="2"/>
  <c r="C11" i="2"/>
  <c r="C10" i="2"/>
  <c r="G9" i="2"/>
  <c r="C9" i="2"/>
  <c r="G8" i="2"/>
  <c r="C8" i="2"/>
  <c r="C7" i="2"/>
  <c r="C6" i="2"/>
  <c r="G5" i="2"/>
  <c r="C5" i="2"/>
  <c r="G4" i="2"/>
  <c r="C4" i="2"/>
  <c r="G3" i="2"/>
  <c r="C3" i="2"/>
</calcChain>
</file>

<file path=xl/sharedStrings.xml><?xml version="1.0" encoding="utf-8"?>
<sst xmlns="http://schemas.openxmlformats.org/spreadsheetml/2006/main" count="396" uniqueCount="258">
  <si>
    <t xml:space="preserve">
ROTAS - TIMBAÚBA S.A.
</t>
  </si>
  <si>
    <t>Ordem</t>
  </si>
  <si>
    <t>Código Rota</t>
  </si>
  <si>
    <t>Veículo</t>
  </si>
  <si>
    <t>Motorista (Detalhe)</t>
  </si>
  <si>
    <t>Local / Parada</t>
  </si>
  <si>
    <t>Horário</t>
  </si>
  <si>
    <t>Coordenadas</t>
  </si>
  <si>
    <t>OBSERVAÇÃO</t>
  </si>
  <si>
    <t>J01</t>
  </si>
  <si>
    <t>Milton Costa</t>
  </si>
  <si>
    <t>Brisa da Serra (Posto Médico)</t>
  </si>
  <si>
    <t>Parque Residencial (Praça Pequena)</t>
  </si>
  <si>
    <t>João Paulo II (Mercadinho Brasil)</t>
  </si>
  <si>
    <t>Dom José Rodrigues - Próximo a Caixa D'água</t>
  </si>
  <si>
    <t>Codevasf - Rua Alecrim - Big Farma</t>
  </si>
  <si>
    <t>Av. Girassol (Codevasf)</t>
  </si>
  <si>
    <t>Argemiro (Em frente à Escola)</t>
  </si>
  <si>
    <t>Piranga 02 (Em frente à Feirinha)</t>
  </si>
  <si>
    <t>CHECAR</t>
  </si>
  <si>
    <t>Piranga 01 (Bar de Neide)</t>
  </si>
  <si>
    <t>Av. Quidé (Em frente à Escola)</t>
  </si>
  <si>
    <t>Av. Quidé (Pizzaria Alves)</t>
  </si>
  <si>
    <t>Penha (Atrás do Cemitério)</t>
  </si>
  <si>
    <t>JOÃO XXII - Rotatória</t>
  </si>
  <si>
    <t>São Luís (Açaí)</t>
  </si>
  <si>
    <t>Antigo Mestre dos Sucos (próx. Rodoviária)</t>
  </si>
  <si>
    <t>Posto BR - Av. da Integração (Próximo Academia)</t>
  </si>
  <si>
    <t>Abaré Radiadores (Av. Sete de Setembro)</t>
  </si>
  <si>
    <t>J02</t>
  </si>
  <si>
    <t>Alto da Aliança (Padaria Vitória)</t>
  </si>
  <si>
    <t>Castelo Branco - SAMU</t>
  </si>
  <si>
    <t>Tabuleiro Rua 11</t>
  </si>
  <si>
    <t>Novo Encontro Rua das Algarobas (Praça Tober)</t>
  </si>
  <si>
    <t>Novo Encontro (Praça do Ovo)</t>
  </si>
  <si>
    <t>-9.4211334, -40.4926834</t>
  </si>
  <si>
    <t>Adolfo Viana (Posto Surubim)</t>
  </si>
  <si>
    <t>-9.4246621, -40.496044</t>
  </si>
  <si>
    <t>Av. Guararapes Petrolina (Vale da Sorte)</t>
  </si>
  <si>
    <t>-9.4189053, -40.5011517</t>
  </si>
  <si>
    <t>Av. Guararapes (Praça das Algarobas)</t>
  </si>
  <si>
    <t>Av. Monsenhor Sampaio (G Barbosa)</t>
  </si>
  <si>
    <t>Av. Monsenhor Sampaio (Posto Big Brother)</t>
  </si>
  <si>
    <t>BR-122 (Hotel Rio Belo)</t>
  </si>
  <si>
    <t>BR-428 (Ponto de ônibus)</t>
  </si>
  <si>
    <t>Vila Marcela (Zé Matuto)</t>
  </si>
  <si>
    <t>BR 428 Posto Paizão</t>
  </si>
  <si>
    <t>BR 428 (Pousada Garden)</t>
  </si>
  <si>
    <t>L01</t>
  </si>
  <si>
    <t>Auto Grande</t>
  </si>
  <si>
    <t>05:35</t>
  </si>
  <si>
    <t>Bella</t>
  </si>
  <si>
    <t>Morada Nova</t>
  </si>
  <si>
    <t>05:40</t>
  </si>
  <si>
    <t>Estátua</t>
  </si>
  <si>
    <t>05:42</t>
  </si>
  <si>
    <t>Av. Nilo Coelho (Borracharia)</t>
  </si>
  <si>
    <t>BR 428 (Placa)</t>
  </si>
  <si>
    <t>L02</t>
  </si>
  <si>
    <t>Bairro do Vasco (Juca Som)</t>
  </si>
  <si>
    <t>Bairro do Vasco (Saída)</t>
  </si>
  <si>
    <t>Cohab Velha</t>
  </si>
  <si>
    <t>05:43</t>
  </si>
  <si>
    <t>Padaria Changai</t>
  </si>
  <si>
    <t>L03</t>
  </si>
  <si>
    <t>Posto Fiscal</t>
  </si>
  <si>
    <t>Izacolândia (Praça)</t>
  </si>
  <si>
    <t>05:45</t>
  </si>
  <si>
    <t>BR 428 (Três Postes)</t>
  </si>
  <si>
    <t>L04</t>
  </si>
  <si>
    <t>BR 428 (Assentamento Massueto)</t>
  </si>
  <si>
    <t>05:50</t>
  </si>
  <si>
    <t>N01</t>
  </si>
  <si>
    <t>Caixa D'Água</t>
  </si>
  <si>
    <t>Nor</t>
  </si>
  <si>
    <t>Posto Gean</t>
  </si>
  <si>
    <t>Farmácia</t>
  </si>
  <si>
    <t>NS 01</t>
  </si>
  <si>
    <t>Nas 14</t>
  </si>
  <si>
    <t>Nas 60</t>
  </si>
  <si>
    <t>Serra da santa</t>
  </si>
  <si>
    <t>BR 428 (Vila 12)</t>
  </si>
  <si>
    <t>N11</t>
  </si>
  <si>
    <t>N02</t>
  </si>
  <si>
    <t>Rua do Rio</t>
  </si>
  <si>
    <t>Verdurão</t>
  </si>
  <si>
    <t>P01</t>
  </si>
  <si>
    <t>BR 407 Quati (Barraca do Antônio)</t>
  </si>
  <si>
    <t>Cosme e Damião (Quadra)</t>
  </si>
  <si>
    <t>Quati (Gomes Supermercado)</t>
  </si>
  <si>
    <t>Rua 12 João de Deus (Padaria)</t>
  </si>
  <si>
    <t>Rua 12 João de Deus (Marquinhos Confecções)</t>
  </si>
  <si>
    <t>Av. Antônio Estevão — Jardim São Paulo (Próx. ao Mercado)</t>
  </si>
  <si>
    <t>Cacheado (Posto Cacheado)</t>
  </si>
  <si>
    <t>Estrada da Banana — Pedra Linda (Mercadinho Nunes)</t>
  </si>
  <si>
    <t>Pedra Linda - Posto na Entrada do Bairro</t>
  </si>
  <si>
    <t>Parque Petrolina</t>
  </si>
  <si>
    <t>Material de Construção (Topázio)</t>
  </si>
  <si>
    <t>Bernardino (Mercadinho Bom Lar)</t>
  </si>
  <si>
    <t>P02</t>
  </si>
  <si>
    <t>Aldiegas</t>
  </si>
  <si>
    <t>Estrada da Banana (Recicle &amp; Cia)</t>
  </si>
  <si>
    <t>Vila Verde (Rotatória da Jota Nunes)</t>
  </si>
  <si>
    <t>Novo Tempo 2 (Beira da BR)</t>
  </si>
  <si>
    <t>Projeto N09 (Saída do N09)</t>
  </si>
  <si>
    <t>Projeto N07 (Entrada do N07)</t>
  </si>
  <si>
    <t>Projeto N07 (Vila Nova)</t>
  </si>
  <si>
    <t>C3 (Entrada do C3)</t>
  </si>
  <si>
    <t>N8 (Entrada do N8)</t>
  </si>
  <si>
    <t>N10</t>
  </si>
  <si>
    <t>P03</t>
  </si>
  <si>
    <t>Rua 15 — Jardim Guararapes (Posto Guararapes)</t>
  </si>
  <si>
    <t>Rua 15 (Residencial Guararapes)</t>
  </si>
  <si>
    <t>Rua 15 (Residencial Nova Petrolina)</t>
  </si>
  <si>
    <t>Condomínio Flor do Guarujá</t>
  </si>
  <si>
    <t>Condomínio Valle dos Flamboyants</t>
  </si>
  <si>
    <t>Parque São Gonçalo (Entrada)</t>
  </si>
  <si>
    <t>Rio Corrente (Mercadinho Vila Bela)</t>
  </si>
  <si>
    <t>Av. Simão Amorim (Restaurante Feitosa)</t>
  </si>
  <si>
    <t>Av. Simão Amorim (Marques Construção)</t>
  </si>
  <si>
    <t>Av. Simão Amorim (Império dos Salgados)</t>
  </si>
  <si>
    <t>Rua 12 São Gonçalo (Uniasselvi Cursos)</t>
  </si>
  <si>
    <t>Fatiado - Av. Cohab Massangano</t>
  </si>
  <si>
    <t>Av. Coab Massangano (Tropical Pneus)</t>
  </si>
  <si>
    <t>Cohab Massangano (SAMU)</t>
  </si>
  <si>
    <t>Posto Reis</t>
  </si>
  <si>
    <t>P04</t>
  </si>
  <si>
    <t>Contorno Maria Maga (Padaria Delícia do Trigo)</t>
  </si>
  <si>
    <t>Antônio Casimiro (Após o Canal)</t>
  </si>
  <si>
    <t>Antônio Casimiro (Restaurante)</t>
  </si>
  <si>
    <t>Rua 12 Santa Luzia (Mercadinho Araújo)</t>
  </si>
  <si>
    <t>Rua 12 Santa Luzia (Vale Economia)</t>
  </si>
  <si>
    <t>Rua 12 Santa Luzia (Gênesis Construções)</t>
  </si>
  <si>
    <t>Rua 12 Santa Luzia (Fim da Avenida — Esquina)</t>
  </si>
  <si>
    <t>Av. do Petróleo (Assembleia de Deus)</t>
  </si>
  <si>
    <t>P05</t>
  </si>
  <si>
    <t>Henrique Leite (Farmácia)</t>
  </si>
  <si>
    <t>Henrique Leite (Cemitério)</t>
  </si>
  <si>
    <t>ASSOCIAÇÃO DOS MORADORES - IDALINO</t>
  </si>
  <si>
    <t>AV. BARÃO DE CONTENDAS (ED. ARTHUR FEITOSA)</t>
  </si>
  <si>
    <t>Em frente ao Batalhão do Exército</t>
  </si>
  <si>
    <t>José e Maria (Posto de Combustível)</t>
  </si>
  <si>
    <t>José e Maria (Padaria Holanda)</t>
  </si>
  <si>
    <t>Dom Avelar (Entrada - Primeira Rotatória - Av. da Redenção)</t>
  </si>
  <si>
    <t>Dom Avelar (Segunda Rotatória - Av. da Redenção)</t>
  </si>
  <si>
    <t>Padre Cícero - Av. da Redenção (Esquina R. do Colibri)</t>
  </si>
  <si>
    <t>Dom Avelar - R. da Caridade (Farmácia Permanente)</t>
  </si>
  <si>
    <t>Dom Avelar - R. da Caridade (Oficina Primeira Linha)</t>
  </si>
  <si>
    <t>VEÍCULO</t>
  </si>
  <si>
    <t>PLACA</t>
  </si>
  <si>
    <t>CAPACIDADE</t>
  </si>
  <si>
    <t>01</t>
  </si>
  <si>
    <t>PEI7B61</t>
  </si>
  <si>
    <t>02</t>
  </si>
  <si>
    <t>PEI7A21</t>
  </si>
  <si>
    <t>03</t>
  </si>
  <si>
    <t>PEI7C51</t>
  </si>
  <si>
    <t>04</t>
  </si>
  <si>
    <t>PEI7B21</t>
  </si>
  <si>
    <t>05</t>
  </si>
  <si>
    <t>PEI7C91</t>
  </si>
  <si>
    <t>06</t>
  </si>
  <si>
    <t>PEI7A71</t>
  </si>
  <si>
    <t>07</t>
  </si>
  <si>
    <t>PFI6H66</t>
  </si>
  <si>
    <t>08</t>
  </si>
  <si>
    <t>PFJ0396</t>
  </si>
  <si>
    <t>09</t>
  </si>
  <si>
    <t>PEO8A76</t>
  </si>
  <si>
    <t>PEO8C96</t>
  </si>
  <si>
    <t>PEI7E31</t>
  </si>
  <si>
    <t>LQK2C94</t>
  </si>
  <si>
    <t>OLB4F46</t>
  </si>
  <si>
    <t>OIO9F07</t>
  </si>
  <si>
    <t>OIP6817</t>
  </si>
  <si>
    <t>PFT3230</t>
  </si>
  <si>
    <t>PGF5127</t>
  </si>
  <si>
    <t>PFU3331</t>
  </si>
  <si>
    <t>PFR0839</t>
  </si>
  <si>
    <t>PFY3619</t>
  </si>
  <si>
    <t>PFT1E61</t>
  </si>
  <si>
    <t>PGJ2F90</t>
  </si>
  <si>
    <t>HHK5190</t>
  </si>
  <si>
    <t>KGK1557</t>
  </si>
  <si>
    <t>KJP5294</t>
  </si>
  <si>
    <t>KLO8B32</t>
  </si>
  <si>
    <t>KLO8E02</t>
  </si>
  <si>
    <t>KLO8A42</t>
  </si>
  <si>
    <t>KHF0064</t>
  </si>
  <si>
    <t>HHK5179</t>
  </si>
  <si>
    <t>EZL0B49</t>
  </si>
  <si>
    <t>EZL0B53</t>
  </si>
  <si>
    <t>EZL0B43</t>
  </si>
  <si>
    <t>EZL0B47</t>
  </si>
  <si>
    <t>EZL4F30</t>
  </si>
  <si>
    <t>EZL4H88</t>
  </si>
  <si>
    <t>EJV5B67</t>
  </si>
  <si>
    <t>EZL4G94</t>
  </si>
  <si>
    <t>EZL4H29</t>
  </si>
  <si>
    <t>EZL4I22</t>
  </si>
  <si>
    <t>EZL4I09</t>
  </si>
  <si>
    <t>EZL4H12</t>
  </si>
  <si>
    <t>EZL4G96</t>
  </si>
  <si>
    <t>EZL4F27</t>
  </si>
  <si>
    <t>EZL4H14</t>
  </si>
  <si>
    <t>EZL4I07</t>
  </si>
  <si>
    <t>EZL4H82</t>
  </si>
  <si>
    <t>EZL4G97</t>
  </si>
  <si>
    <t>EJV5H09</t>
  </si>
  <si>
    <t>EZL4E98</t>
  </si>
  <si>
    <t>KLU1353</t>
  </si>
  <si>
    <t>KGK3007</t>
  </si>
  <si>
    <t>KGK3357</t>
  </si>
  <si>
    <t>KKT7G50</t>
  </si>
  <si>
    <t>KGE3I10</t>
  </si>
  <si>
    <t>KPD3B59</t>
  </si>
  <si>
    <t>KLU5C90</t>
  </si>
  <si>
    <t>KLU3G30</t>
  </si>
  <si>
    <t>KLU4D10</t>
  </si>
  <si>
    <t>JMP4395</t>
  </si>
  <si>
    <t>JQQ6346</t>
  </si>
  <si>
    <t>JQQ6343</t>
  </si>
  <si>
    <t>PEJ7J04</t>
  </si>
  <si>
    <t>PEH9I14</t>
  </si>
  <si>
    <t>KHC4809</t>
  </si>
  <si>
    <t>KHC5199</t>
  </si>
  <si>
    <t>KIQ8750</t>
  </si>
  <si>
    <t>PFE9128</t>
  </si>
  <si>
    <t>NXV5202</t>
  </si>
  <si>
    <t>JSJ8J82</t>
  </si>
  <si>
    <t>202</t>
  </si>
  <si>
    <t>JSJ1I28</t>
  </si>
  <si>
    <t>70V</t>
  </si>
  <si>
    <t>OLE4B15</t>
  </si>
  <si>
    <t>80V</t>
  </si>
  <si>
    <t>PDI4E80</t>
  </si>
  <si>
    <t>110V</t>
  </si>
  <si>
    <t>PMI3E31</t>
  </si>
  <si>
    <t>120V</t>
  </si>
  <si>
    <t>OZI8I06</t>
  </si>
  <si>
    <t>130V</t>
  </si>
  <si>
    <t>OZI6B39</t>
  </si>
  <si>
    <t>140V</t>
  </si>
  <si>
    <t>PMV8H20</t>
  </si>
  <si>
    <t>150V</t>
  </si>
  <si>
    <t>SCU8E84</t>
  </si>
  <si>
    <t>160V</t>
  </si>
  <si>
    <t>SUT0I08</t>
  </si>
  <si>
    <t>20M</t>
  </si>
  <si>
    <t>PES0B44</t>
  </si>
  <si>
    <t>30M</t>
  </si>
  <si>
    <t>OZU1710</t>
  </si>
  <si>
    <t>40M</t>
  </si>
  <si>
    <t>KHD5F84</t>
  </si>
  <si>
    <t>50M</t>
  </si>
  <si>
    <t>PEI6J61</t>
  </si>
  <si>
    <t>60M</t>
  </si>
  <si>
    <t>PEI9A62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</si>
</sst>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0254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4" borderId="2" xfId="0" applyFont="1" applyFill="1" applyBorder="1"/>
    <xf numFmtId="49" fontId="0" fillId="0" borderId="2" xfId="0" applyNumberFormat="1" applyBorder="1"/>
    <xf numFmtId="49" fontId="0" fillId="4" borderId="2" xfId="0" applyNumberFormat="1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STUDOS/OTIMIZA&#199;&#195;O%20DAS%20ROTAS/NOVO%20ESTUDO/QUADRO%20GERAL/ROTEIROS.xlsx" TargetMode="External"/><Relationship Id="rId2" Type="http://schemas.openxmlformats.org/officeDocument/2006/relationships/externalLinkPath" Target="https://d.docs.live.net/652cb8c1b03727a7/LOG&#205;STICA/CONTRATOS/TIMBA&#218;BA/ESTUDOS/OTIMIZA&#199;&#195;O%20DAS%20ROTAS/NOVO%20ESTUDO/QUADRO%20GERAL/ROTEIROS.xlsx" TargetMode="External"/><Relationship Id="rId1" Type="http://schemas.openxmlformats.org/officeDocument/2006/relationships/externalLinkPath" Target="/652cb8c1b03727a7/LOG&#205;STICA/CONTRATOS/TIMBA&#218;BA/ESTUDOS/OTIMIZA&#199;&#195;O%20DAS%20ROTAS/NOVO%20ESTUDO/QUADRO%20GERAL/ROTEI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otas - Terceiros"/>
      <sheetName val="Roteiros"/>
      <sheetName val="Calendário - 12x36"/>
      <sheetName val="Rotas - Veí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ROTA</v>
          </cell>
          <cell r="B1" t="str">
            <v>VEÍCULO</v>
          </cell>
        </row>
        <row r="2">
          <cell r="A2" t="str">
            <v>J01</v>
          </cell>
          <cell r="B2">
            <v>56</v>
          </cell>
        </row>
        <row r="3">
          <cell r="A3" t="str">
            <v>J02</v>
          </cell>
          <cell r="B3">
            <v>59</v>
          </cell>
        </row>
        <row r="4">
          <cell r="A4" t="str">
            <v>L01</v>
          </cell>
          <cell r="B4">
            <v>58</v>
          </cell>
        </row>
        <row r="5">
          <cell r="A5" t="str">
            <v>L02</v>
          </cell>
          <cell r="B5">
            <v>62</v>
          </cell>
        </row>
        <row r="6">
          <cell r="A6" t="str">
            <v>L03</v>
          </cell>
          <cell r="B6">
            <v>95</v>
          </cell>
        </row>
        <row r="7">
          <cell r="A7" t="str">
            <v>L04</v>
          </cell>
          <cell r="B7">
            <v>97</v>
          </cell>
        </row>
        <row r="8">
          <cell r="A8" t="str">
            <v>L05</v>
          </cell>
          <cell r="B8">
            <v>63</v>
          </cell>
        </row>
        <row r="9">
          <cell r="A9" t="str">
            <v>N01</v>
          </cell>
          <cell r="B9">
            <v>46</v>
          </cell>
        </row>
        <row r="10">
          <cell r="A10" t="str">
            <v>N02</v>
          </cell>
          <cell r="B10">
            <v>98</v>
          </cell>
        </row>
        <row r="11">
          <cell r="A11" t="str">
            <v>P01</v>
          </cell>
          <cell r="B11">
            <v>54</v>
          </cell>
        </row>
        <row r="12">
          <cell r="A12" t="str">
            <v>P02</v>
          </cell>
          <cell r="B12">
            <v>88</v>
          </cell>
        </row>
        <row r="13">
          <cell r="A13" t="str">
            <v>P03</v>
          </cell>
          <cell r="B13">
            <v>94</v>
          </cell>
        </row>
        <row r="14">
          <cell r="A14" t="str">
            <v>P04</v>
          </cell>
          <cell r="B14">
            <v>65</v>
          </cell>
        </row>
        <row r="15">
          <cell r="A15" t="str">
            <v>P05</v>
          </cell>
          <cell r="B15">
            <v>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05C4EE-6E7C-44FE-AB15-ABD9A0510167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KicNSUpJRJznQxzzu2UG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432A-DBE0-4DB9-825F-636D982B1F0D}">
  <dimension ref="A1:I124"/>
  <sheetViews>
    <sheetView view="pageBreakPreview" topLeftCell="A87" zoomScale="110" zoomScaleNormal="85" zoomScaleSheetLayoutView="110" workbookViewId="0">
      <selection activeCell="K119" sqref="K119"/>
    </sheetView>
  </sheetViews>
  <sheetFormatPr defaultRowHeight="14.4" x14ac:dyDescent="0.3"/>
  <cols>
    <col min="1" max="1" width="16.5546875" bestFit="1" customWidth="1"/>
    <col min="2" max="2" width="15.33203125" style="7" bestFit="1" customWidth="1"/>
    <col min="3" max="3" width="11.6640625" bestFit="1" customWidth="1"/>
    <col min="4" max="4" width="21.6640625" hidden="1" customWidth="1"/>
    <col min="5" max="5" width="49.88671875" bestFit="1" customWidth="1"/>
    <col min="6" max="6" width="17" style="8" bestFit="1" customWidth="1"/>
    <col min="7" max="7" width="38.109375" style="9" hidden="1" customWidth="1"/>
    <col min="8" max="8" width="17" hidden="1" customWidth="1"/>
  </cols>
  <sheetData>
    <row r="1" spans="1:8" ht="105" customHeight="1" x14ac:dyDescent="0.6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2" t="s">
        <v>7</v>
      </c>
      <c r="H2" s="1" t="s">
        <v>8</v>
      </c>
    </row>
    <row r="3" spans="1:8" x14ac:dyDescent="0.3">
      <c r="A3" s="3">
        <v>1</v>
      </c>
      <c r="B3" s="3" t="s">
        <v>9</v>
      </c>
      <c r="C3" s="3">
        <f>_xlfn.XLOOKUP(B3,'[1]Rotas - Veículos'!$A:$A,'[1]Rotas - Veículos'!$B:$B)</f>
        <v>56</v>
      </c>
      <c r="D3" s="3" t="s">
        <v>10</v>
      </c>
      <c r="E3" s="3" t="s">
        <v>11</v>
      </c>
      <c r="F3" s="4">
        <v>0.20694444444444443</v>
      </c>
      <c r="G3" s="5" t="str">
        <f>"-9.472520, -40.492102"</f>
        <v>-9.472520, -40.492102</v>
      </c>
      <c r="H3" s="6"/>
    </row>
    <row r="4" spans="1:8" x14ac:dyDescent="0.3">
      <c r="A4" s="3">
        <v>2</v>
      </c>
      <c r="B4" s="3" t="s">
        <v>9</v>
      </c>
      <c r="C4" s="3">
        <f>_xlfn.XLOOKUP(B4,'[1]Rotas - Veículos'!$A:$A,'[1]Rotas - Veículos'!$B:$B)</f>
        <v>56</v>
      </c>
      <c r="D4" s="3" t="s">
        <v>10</v>
      </c>
      <c r="E4" s="3" t="s">
        <v>12</v>
      </c>
      <c r="F4" s="4">
        <v>0.21527777777777779</v>
      </c>
      <c r="G4" s="5" t="str">
        <f>"-9.474720, -40.495887"</f>
        <v>-9.474720, -40.495887</v>
      </c>
      <c r="H4" s="6"/>
    </row>
    <row r="5" spans="1:8" x14ac:dyDescent="0.3">
      <c r="A5" s="3">
        <v>3</v>
      </c>
      <c r="B5" s="3" t="s">
        <v>9</v>
      </c>
      <c r="C5" s="3">
        <f>_xlfn.XLOOKUP(B5,'[1]Rotas - Veículos'!$A:$A,'[1]Rotas - Veículos'!$B:$B)</f>
        <v>56</v>
      </c>
      <c r="D5" s="3" t="s">
        <v>10</v>
      </c>
      <c r="E5" s="3" t="s">
        <v>13</v>
      </c>
      <c r="F5" s="4">
        <v>0.21666666666666667</v>
      </c>
      <c r="G5" s="5" t="str">
        <f>"-9.471079, -40.498322"</f>
        <v>-9.471079, -40.498322</v>
      </c>
      <c r="H5" s="6"/>
    </row>
    <row r="6" spans="1:8" x14ac:dyDescent="0.3">
      <c r="A6" s="3">
        <v>4</v>
      </c>
      <c r="B6" s="3" t="s">
        <v>9</v>
      </c>
      <c r="C6" s="3">
        <f>_xlfn.XLOOKUP(B6,'[1]Rotas - Veículos'!$A:$A,'[1]Rotas - Veículos'!$B:$B)</f>
        <v>56</v>
      </c>
      <c r="D6" s="3"/>
      <c r="E6" s="3" t="s">
        <v>14</v>
      </c>
      <c r="F6" s="4">
        <v>0.22361111111111112</v>
      </c>
      <c r="G6" s="5"/>
      <c r="H6" s="6"/>
    </row>
    <row r="7" spans="1:8" x14ac:dyDescent="0.3">
      <c r="A7" s="3">
        <v>5</v>
      </c>
      <c r="B7" s="3" t="s">
        <v>9</v>
      </c>
      <c r="C7" s="3">
        <f>_xlfn.XLOOKUP(B7,'[1]Rotas - Veículos'!$A:$A,'[1]Rotas - Veículos'!$B:$B)</f>
        <v>56</v>
      </c>
      <c r="D7" s="3"/>
      <c r="E7" s="3" t="s">
        <v>15</v>
      </c>
      <c r="F7" s="4">
        <v>0.22777777777777777</v>
      </c>
      <c r="G7" s="5"/>
      <c r="H7" s="6"/>
    </row>
    <row r="8" spans="1:8" x14ac:dyDescent="0.3">
      <c r="A8" s="3">
        <v>6</v>
      </c>
      <c r="B8" s="3" t="s">
        <v>9</v>
      </c>
      <c r="C8" s="3">
        <f>_xlfn.XLOOKUP(B8,'[1]Rotas - Veículos'!$A:$A,'[1]Rotas - Veículos'!$B:$B)</f>
        <v>56</v>
      </c>
      <c r="D8" s="3" t="s">
        <v>10</v>
      </c>
      <c r="E8" s="3" t="s">
        <v>16</v>
      </c>
      <c r="F8" s="4">
        <v>0.22916666666666666</v>
      </c>
      <c r="G8" s="5" t="str">
        <f>"-9.437832, -40.513246"</f>
        <v>-9.437832, -40.513246</v>
      </c>
      <c r="H8" s="6"/>
    </row>
    <row r="9" spans="1:8" x14ac:dyDescent="0.3">
      <c r="A9" s="3">
        <v>7</v>
      </c>
      <c r="B9" s="3" t="s">
        <v>9</v>
      </c>
      <c r="C9" s="3">
        <f>_xlfn.XLOOKUP(B9,'[1]Rotas - Veículos'!$A:$A,'[1]Rotas - Veículos'!$B:$B)</f>
        <v>56</v>
      </c>
      <c r="D9" s="3" t="s">
        <v>10</v>
      </c>
      <c r="E9" s="3" t="s">
        <v>17</v>
      </c>
      <c r="F9" s="4">
        <v>0.2298611111111111</v>
      </c>
      <c r="G9" s="5" t="str">
        <f>"-9.438542, -40.518481"</f>
        <v>-9.438542, -40.518481</v>
      </c>
      <c r="H9" s="6"/>
    </row>
    <row r="10" spans="1:8" x14ac:dyDescent="0.3">
      <c r="A10" s="3">
        <v>8</v>
      </c>
      <c r="B10" s="3" t="s">
        <v>9</v>
      </c>
      <c r="C10" s="3">
        <f>_xlfn.XLOOKUP(B10,'[1]Rotas - Veículos'!$A:$A,'[1]Rotas - Veículos'!$B:$B)</f>
        <v>56</v>
      </c>
      <c r="D10" s="3" t="s">
        <v>10</v>
      </c>
      <c r="E10" s="3" t="s">
        <v>18</v>
      </c>
      <c r="F10" s="4">
        <v>0.2298611111111111</v>
      </c>
      <c r="G10" s="5" t="s">
        <v>19</v>
      </c>
      <c r="H10" s="6"/>
    </row>
    <row r="11" spans="1:8" x14ac:dyDescent="0.3">
      <c r="A11" s="3">
        <v>9</v>
      </c>
      <c r="B11" s="3" t="s">
        <v>9</v>
      </c>
      <c r="C11" s="3">
        <f>_xlfn.XLOOKUP(B11,'[1]Rotas - Veículos'!$A:$A,'[1]Rotas - Veículos'!$B:$B)</f>
        <v>56</v>
      </c>
      <c r="D11" s="3" t="s">
        <v>10</v>
      </c>
      <c r="E11" s="3" t="s">
        <v>20</v>
      </c>
      <c r="F11" s="4">
        <v>0.23055555555555557</v>
      </c>
      <c r="G11" s="5"/>
      <c r="H11" s="6"/>
    </row>
    <row r="12" spans="1:8" x14ac:dyDescent="0.3">
      <c r="A12" s="3">
        <v>10</v>
      </c>
      <c r="B12" s="3" t="s">
        <v>9</v>
      </c>
      <c r="C12" s="3">
        <f>_xlfn.XLOOKUP(B12,'[1]Rotas - Veículos'!$A:$A,'[1]Rotas - Veículos'!$B:$B)</f>
        <v>56</v>
      </c>
      <c r="D12" s="3" t="s">
        <v>10</v>
      </c>
      <c r="E12" s="3" t="s">
        <v>21</v>
      </c>
      <c r="F12" s="4">
        <v>0.23402777777777778</v>
      </c>
      <c r="G12" s="5" t="s">
        <v>19</v>
      </c>
      <c r="H12" s="3"/>
    </row>
    <row r="13" spans="1:8" x14ac:dyDescent="0.3">
      <c r="A13" s="3">
        <v>11</v>
      </c>
      <c r="B13" s="3" t="s">
        <v>9</v>
      </c>
      <c r="C13" s="3">
        <f>_xlfn.XLOOKUP(B13,'[1]Rotas - Veículos'!$A:$A,'[1]Rotas - Veículos'!$B:$B)</f>
        <v>56</v>
      </c>
      <c r="D13" s="3" t="s">
        <v>10</v>
      </c>
      <c r="E13" s="3" t="s">
        <v>22</v>
      </c>
      <c r="F13" s="4">
        <v>0.23472222222222222</v>
      </c>
      <c r="G13" s="5" t="s">
        <v>19</v>
      </c>
      <c r="H13" s="6"/>
    </row>
    <row r="14" spans="1:8" x14ac:dyDescent="0.3">
      <c r="A14" s="3">
        <v>12</v>
      </c>
      <c r="B14" s="3" t="s">
        <v>9</v>
      </c>
      <c r="C14" s="3">
        <f>_xlfn.XLOOKUP(B14,'[1]Rotas - Veículos'!$A:$A,'[1]Rotas - Veículos'!$B:$B)</f>
        <v>56</v>
      </c>
      <c r="D14" s="3" t="s">
        <v>10</v>
      </c>
      <c r="E14" s="3" t="s">
        <v>23</v>
      </c>
      <c r="F14" s="4">
        <v>0.23749999999999999</v>
      </c>
      <c r="G14" s="5" t="s">
        <v>19</v>
      </c>
      <c r="H14" s="6"/>
    </row>
    <row r="15" spans="1:8" x14ac:dyDescent="0.3">
      <c r="A15" s="3">
        <v>13</v>
      </c>
      <c r="B15" s="3" t="s">
        <v>9</v>
      </c>
      <c r="C15" s="3">
        <f>_xlfn.XLOOKUP(B15,'[1]Rotas - Veículos'!$A:$A,'[1]Rotas - Veículos'!$B:$B)</f>
        <v>56</v>
      </c>
      <c r="D15" s="3"/>
      <c r="E15" s="3" t="s">
        <v>24</v>
      </c>
      <c r="F15" s="4">
        <v>0.24166666666666667</v>
      </c>
      <c r="G15" s="5"/>
      <c r="H15" s="6"/>
    </row>
    <row r="16" spans="1:8" x14ac:dyDescent="0.3">
      <c r="A16" s="3">
        <v>14</v>
      </c>
      <c r="B16" s="3" t="s">
        <v>9</v>
      </c>
      <c r="C16" s="3">
        <f>_xlfn.XLOOKUP(B16,'[1]Rotas - Veículos'!$A:$A,'[1]Rotas - Veículos'!$B:$B)</f>
        <v>56</v>
      </c>
      <c r="D16" s="3" t="s">
        <v>10</v>
      </c>
      <c r="E16" s="3" t="s">
        <v>25</v>
      </c>
      <c r="F16" s="4">
        <v>0.24305555555555555</v>
      </c>
      <c r="G16" s="5" t="s">
        <v>19</v>
      </c>
      <c r="H16" s="6"/>
    </row>
    <row r="17" spans="1:8" x14ac:dyDescent="0.3">
      <c r="A17" s="3">
        <v>15</v>
      </c>
      <c r="B17" s="3" t="s">
        <v>9</v>
      </c>
      <c r="C17" s="3">
        <f>_xlfn.XLOOKUP(B17,'[1]Rotas - Veículos'!$A:$A,'[1]Rotas - Veículos'!$B:$B)</f>
        <v>56</v>
      </c>
      <c r="D17" s="3" t="s">
        <v>10</v>
      </c>
      <c r="E17" s="3" t="s">
        <v>26</v>
      </c>
      <c r="F17" s="4">
        <v>0.24861111111111112</v>
      </c>
      <c r="G17" s="5" t="s">
        <v>19</v>
      </c>
      <c r="H17" s="6"/>
    </row>
    <row r="18" spans="1:8" x14ac:dyDescent="0.3">
      <c r="A18" s="3">
        <v>16</v>
      </c>
      <c r="B18" s="3" t="s">
        <v>9</v>
      </c>
      <c r="C18" s="3">
        <f>_xlfn.XLOOKUP(B18,'[1]Rotas - Veículos'!$A:$A,'[1]Rotas - Veículos'!$B:$B)</f>
        <v>56</v>
      </c>
      <c r="D18" s="3"/>
      <c r="E18" s="3" t="s">
        <v>27</v>
      </c>
      <c r="F18" s="4">
        <v>0.25069444444444444</v>
      </c>
      <c r="G18" s="5"/>
      <c r="H18" s="6"/>
    </row>
    <row r="19" spans="1:8" x14ac:dyDescent="0.3">
      <c r="A19" s="3">
        <v>17</v>
      </c>
      <c r="B19" s="3" t="s">
        <v>9</v>
      </c>
      <c r="C19" s="3">
        <f>_xlfn.XLOOKUP(B19,'[1]Rotas - Veículos'!$A:$A,'[1]Rotas - Veículos'!$B:$B)</f>
        <v>56</v>
      </c>
      <c r="D19" s="3"/>
      <c r="E19" s="3" t="s">
        <v>28</v>
      </c>
      <c r="F19" s="4">
        <v>0.25347222222222221</v>
      </c>
      <c r="G19" s="5"/>
      <c r="H19" s="6"/>
    </row>
    <row r="20" spans="1:8" x14ac:dyDescent="0.3">
      <c r="A20" s="3">
        <v>1</v>
      </c>
      <c r="B20" s="3" t="s">
        <v>29</v>
      </c>
      <c r="C20" s="3">
        <f>_xlfn.XLOOKUP(B20,'[1]Rotas - Veículos'!$A:$A,'[1]Rotas - Veículos'!$B:$B)</f>
        <v>59</v>
      </c>
      <c r="D20" s="3"/>
      <c r="E20" s="3" t="s">
        <v>30</v>
      </c>
      <c r="F20" s="4">
        <v>0.21875</v>
      </c>
      <c r="G20" s="5"/>
      <c r="H20" s="6"/>
    </row>
    <row r="21" spans="1:8" x14ac:dyDescent="0.3">
      <c r="A21" s="3">
        <v>2</v>
      </c>
      <c r="B21" s="3" t="s">
        <v>29</v>
      </c>
      <c r="C21" s="3">
        <v>59</v>
      </c>
      <c r="D21" s="3"/>
      <c r="E21" s="3" t="s">
        <v>31</v>
      </c>
      <c r="F21" s="4">
        <v>0.22152777777777777</v>
      </c>
      <c r="G21" s="5" t="str">
        <f>"-9.444068, -40.500202"</f>
        <v>-9.444068, -40.500202</v>
      </c>
      <c r="H21" s="6"/>
    </row>
    <row r="22" spans="1:8" x14ac:dyDescent="0.3">
      <c r="A22" s="3">
        <v>3</v>
      </c>
      <c r="B22" s="3" t="s">
        <v>29</v>
      </c>
      <c r="C22" s="3">
        <f>_xlfn.XLOOKUP(B22,'[1]Rotas - Veículos'!$A:$A,'[1]Rotas - Veículos'!$B:$B)</f>
        <v>59</v>
      </c>
      <c r="D22" s="3"/>
      <c r="E22" s="3" t="s">
        <v>32</v>
      </c>
      <c r="F22" s="4">
        <v>0.22569444444444445</v>
      </c>
      <c r="G22" s="5"/>
      <c r="H22" s="6"/>
    </row>
    <row r="23" spans="1:8" x14ac:dyDescent="0.3">
      <c r="A23" s="3">
        <v>4</v>
      </c>
      <c r="B23" s="3" t="s">
        <v>29</v>
      </c>
      <c r="C23" s="3">
        <f>_xlfn.XLOOKUP(B23,'[1]Rotas - Veículos'!$A:$A,'[1]Rotas - Veículos'!$B:$B)</f>
        <v>59</v>
      </c>
      <c r="D23" s="3"/>
      <c r="E23" s="3" t="s">
        <v>32</v>
      </c>
      <c r="F23" s="4">
        <v>0.22638888888888889</v>
      </c>
      <c r="G23" s="5" t="str">
        <f>"-9.446478, -40.48746"</f>
        <v>-9.446478, -40.48746</v>
      </c>
      <c r="H23" s="6"/>
    </row>
    <row r="24" spans="1:8" x14ac:dyDescent="0.3">
      <c r="A24" s="3">
        <v>5</v>
      </c>
      <c r="B24" s="3" t="s">
        <v>29</v>
      </c>
      <c r="C24" s="3">
        <f>_xlfn.XLOOKUP(B24,'[1]Rotas - Veículos'!$A:$A,'[1]Rotas - Veículos'!$B:$B)</f>
        <v>59</v>
      </c>
      <c r="D24" s="3"/>
      <c r="E24" s="3" t="s">
        <v>33</v>
      </c>
      <c r="F24" s="4">
        <v>0.23472222222222222</v>
      </c>
      <c r="G24" s="5" t="str">
        <f>"-9.436504, -40.478539"</f>
        <v>-9.436504, -40.478539</v>
      </c>
      <c r="H24" s="6"/>
    </row>
    <row r="25" spans="1:8" x14ac:dyDescent="0.3">
      <c r="A25" s="3">
        <v>6</v>
      </c>
      <c r="B25" s="3" t="s">
        <v>29</v>
      </c>
      <c r="C25" s="3">
        <f>_xlfn.XLOOKUP(B25,'[1]Rotas - Veículos'!$A:$A,'[1]Rotas - Veículos'!$B:$B)</f>
        <v>59</v>
      </c>
      <c r="D25" s="3"/>
      <c r="E25" s="3" t="s">
        <v>34</v>
      </c>
      <c r="F25" s="4">
        <v>0.23541666666666666</v>
      </c>
      <c r="G25" s="5" t="s">
        <v>35</v>
      </c>
      <c r="H25" s="6"/>
    </row>
    <row r="26" spans="1:8" x14ac:dyDescent="0.3">
      <c r="A26" s="3">
        <v>7</v>
      </c>
      <c r="B26" s="3" t="s">
        <v>29</v>
      </c>
      <c r="C26" s="3">
        <f>_xlfn.XLOOKUP(B26,'[1]Rotas - Veículos'!$A:$A,'[1]Rotas - Veículos'!$B:$B)</f>
        <v>59</v>
      </c>
      <c r="D26" s="3"/>
      <c r="E26" s="3" t="s">
        <v>36</v>
      </c>
      <c r="F26" s="4">
        <v>0.23819444444444443</v>
      </c>
      <c r="G26" s="5" t="s">
        <v>37</v>
      </c>
      <c r="H26" s="6"/>
    </row>
    <row r="27" spans="1:8" x14ac:dyDescent="0.3">
      <c r="A27" s="3">
        <v>8</v>
      </c>
      <c r="B27" s="3" t="s">
        <v>29</v>
      </c>
      <c r="C27" s="3">
        <f>_xlfn.XLOOKUP(B27,'[1]Rotas - Veículos'!$A:$A,'[1]Rotas - Veículos'!$B:$B)</f>
        <v>59</v>
      </c>
      <c r="D27" s="3"/>
      <c r="E27" s="3" t="s">
        <v>38</v>
      </c>
      <c r="F27" s="4">
        <v>0.24305555555555555</v>
      </c>
      <c r="G27" s="5" t="s">
        <v>39</v>
      </c>
      <c r="H27" s="6"/>
    </row>
    <row r="28" spans="1:8" x14ac:dyDescent="0.3">
      <c r="A28" s="3">
        <v>9</v>
      </c>
      <c r="B28" s="3" t="s">
        <v>29</v>
      </c>
      <c r="C28" s="3">
        <f>_xlfn.XLOOKUP(B28,'[1]Rotas - Veículos'!$A:$A,'[1]Rotas - Veículos'!$B:$B)</f>
        <v>59</v>
      </c>
      <c r="D28" s="3"/>
      <c r="E28" s="3" t="s">
        <v>40</v>
      </c>
      <c r="F28" s="4">
        <v>0.24444444444444444</v>
      </c>
      <c r="G28" s="5" t="str">
        <f>"-9.399343, -40.503984"</f>
        <v>-9.399343, -40.503984</v>
      </c>
      <c r="H28" s="6"/>
    </row>
    <row r="29" spans="1:8" x14ac:dyDescent="0.3">
      <c r="A29" s="3">
        <v>10</v>
      </c>
      <c r="B29" s="3" t="s">
        <v>29</v>
      </c>
      <c r="C29" s="3">
        <f>_xlfn.XLOOKUP(B29,'[1]Rotas - Veículos'!$A:$A,'[1]Rotas - Veículos'!$B:$B)</f>
        <v>59</v>
      </c>
      <c r="D29" s="3"/>
      <c r="E29" s="3" t="s">
        <v>41</v>
      </c>
      <c r="F29" s="4">
        <v>0.24652777777777779</v>
      </c>
      <c r="G29" s="5" t="str">
        <f>"-9.400102, -40.495345"</f>
        <v>-9.400102, -40.495345</v>
      </c>
      <c r="H29" s="6"/>
    </row>
    <row r="30" spans="1:8" x14ac:dyDescent="0.3">
      <c r="A30" s="3">
        <v>11</v>
      </c>
      <c r="B30" s="3" t="s">
        <v>29</v>
      </c>
      <c r="C30" s="3">
        <f>_xlfn.XLOOKUP(B30,'[1]Rotas - Veículos'!$A:$A,'[1]Rotas - Veículos'!$B:$B)</f>
        <v>59</v>
      </c>
      <c r="D30" s="3"/>
      <c r="E30" s="3" t="s">
        <v>42</v>
      </c>
      <c r="F30" s="4">
        <v>0.24861111111111112</v>
      </c>
      <c r="G30" s="5" t="str">
        <f>"-9.396685, -40.491094"</f>
        <v>-9.396685, -40.491094</v>
      </c>
      <c r="H30" s="6"/>
    </row>
    <row r="31" spans="1:8" x14ac:dyDescent="0.3">
      <c r="A31" s="3">
        <v>12</v>
      </c>
      <c r="B31" s="3" t="s">
        <v>29</v>
      </c>
      <c r="C31" s="3">
        <f>_xlfn.XLOOKUP(B31,'[1]Rotas - Veículos'!$A:$A,'[1]Rotas - Veículos'!$B:$B)</f>
        <v>59</v>
      </c>
      <c r="D31" s="3"/>
      <c r="E31" s="3" t="s">
        <v>43</v>
      </c>
      <c r="F31" s="4">
        <v>0.25</v>
      </c>
      <c r="G31" s="5"/>
      <c r="H31" s="6"/>
    </row>
    <row r="32" spans="1:8" x14ac:dyDescent="0.3">
      <c r="A32" s="3">
        <v>13</v>
      </c>
      <c r="B32" s="3" t="s">
        <v>29</v>
      </c>
      <c r="C32" s="3">
        <f>_xlfn.XLOOKUP(B32,'[1]Rotas - Veículos'!$A:$A,'[1]Rotas - Veículos'!$B:$B)</f>
        <v>59</v>
      </c>
      <c r="D32" s="3"/>
      <c r="E32" s="3" t="s">
        <v>44</v>
      </c>
      <c r="F32" s="4">
        <v>0.25069444444444444</v>
      </c>
      <c r="G32" s="5"/>
      <c r="H32" s="6"/>
    </row>
    <row r="33" spans="1:8" x14ac:dyDescent="0.3">
      <c r="A33" s="3">
        <v>14</v>
      </c>
      <c r="B33" s="3" t="s">
        <v>29</v>
      </c>
      <c r="C33" s="3">
        <f>_xlfn.XLOOKUP(B33,'[1]Rotas - Veículos'!$A:$A,'[1]Rotas - Veículos'!$B:$B)</f>
        <v>59</v>
      </c>
      <c r="D33" s="3"/>
      <c r="E33" s="3" t="s">
        <v>45</v>
      </c>
      <c r="F33" s="4">
        <v>0.25347222222222221</v>
      </c>
      <c r="G33" s="5" t="str">
        <f>"-9.369227, -40.485074"</f>
        <v>-9.369227, -40.485074</v>
      </c>
      <c r="H33" s="6"/>
    </row>
    <row r="34" spans="1:8" x14ac:dyDescent="0.3">
      <c r="A34" s="3">
        <v>15</v>
      </c>
      <c r="B34" s="3" t="s">
        <v>29</v>
      </c>
      <c r="C34" s="3">
        <f>_xlfn.XLOOKUP(B34,'[1]Rotas - Veículos'!$A:$A,'[1]Rotas - Veículos'!$B:$B)</f>
        <v>59</v>
      </c>
      <c r="D34" s="3"/>
      <c r="E34" s="3" t="s">
        <v>46</v>
      </c>
      <c r="F34" s="4">
        <v>0.25486111111111109</v>
      </c>
      <c r="G34" s="5" t="str">
        <f>"-9.357038, -40.478827"</f>
        <v>-9.357038, -40.478827</v>
      </c>
      <c r="H34" s="6"/>
    </row>
    <row r="35" spans="1:8" x14ac:dyDescent="0.3">
      <c r="A35" s="3">
        <v>16</v>
      </c>
      <c r="B35" s="3" t="s">
        <v>29</v>
      </c>
      <c r="C35" s="3">
        <f>_xlfn.XLOOKUP(B35,'[1]Rotas - Veículos'!$A:$A,'[1]Rotas - Veículos'!$B:$B)</f>
        <v>59</v>
      </c>
      <c r="D35" s="3"/>
      <c r="E35" s="3" t="s">
        <v>47</v>
      </c>
      <c r="F35" s="4">
        <v>0.25624999999999998</v>
      </c>
      <c r="G35" s="5" t="str">
        <f>"-9.352866, -40.476739"</f>
        <v>-9.352866, -40.476739</v>
      </c>
      <c r="H35" s="6"/>
    </row>
    <row r="36" spans="1:8" x14ac:dyDescent="0.3">
      <c r="A36" s="3">
        <v>1</v>
      </c>
      <c r="B36" s="3" t="s">
        <v>48</v>
      </c>
      <c r="C36" s="3">
        <f>_xlfn.XLOOKUP(B36,'[1]Rotas - Veículos'!$A:$A,'[1]Rotas - Veículos'!$B:$B)</f>
        <v>58</v>
      </c>
      <c r="D36" s="3"/>
      <c r="E36" s="3" t="s">
        <v>49</v>
      </c>
      <c r="F36" s="4" t="s">
        <v>50</v>
      </c>
      <c r="G36" s="5"/>
      <c r="H36" s="6"/>
    </row>
    <row r="37" spans="1:8" x14ac:dyDescent="0.3">
      <c r="A37" s="3">
        <v>2</v>
      </c>
      <c r="B37" s="3" t="s">
        <v>48</v>
      </c>
      <c r="C37" s="3">
        <f>_xlfn.XLOOKUP(B37,'[1]Rotas - Veículos'!$A:$A,'[1]Rotas - Veículos'!$B:$B)</f>
        <v>58</v>
      </c>
      <c r="D37" s="3"/>
      <c r="E37" s="3" t="s">
        <v>51</v>
      </c>
      <c r="F37" s="4">
        <v>0.23402777777777778</v>
      </c>
      <c r="G37" s="5"/>
      <c r="H37" s="6"/>
    </row>
    <row r="38" spans="1:8" x14ac:dyDescent="0.3">
      <c r="A38" s="3">
        <v>3</v>
      </c>
      <c r="B38" s="3" t="s">
        <v>48</v>
      </c>
      <c r="C38" s="3">
        <f>_xlfn.XLOOKUP(B38,'[1]Rotas - Veículos'!$A:$A,'[1]Rotas - Veículos'!$B:$B)</f>
        <v>58</v>
      </c>
      <c r="D38" s="3"/>
      <c r="E38" s="3" t="s">
        <v>52</v>
      </c>
      <c r="F38" s="4" t="s">
        <v>53</v>
      </c>
      <c r="G38" s="5"/>
      <c r="H38" s="6"/>
    </row>
    <row r="39" spans="1:8" x14ac:dyDescent="0.3">
      <c r="A39" s="3">
        <v>4</v>
      </c>
      <c r="B39" s="3" t="s">
        <v>48</v>
      </c>
      <c r="C39" s="3">
        <f>_xlfn.XLOOKUP(B39,'[1]Rotas - Veículos'!$A:$A,'[1]Rotas - Veículos'!$B:$B)</f>
        <v>58</v>
      </c>
      <c r="D39" s="3"/>
      <c r="E39" s="3" t="s">
        <v>54</v>
      </c>
      <c r="F39" s="4" t="s">
        <v>55</v>
      </c>
      <c r="G39" s="5"/>
      <c r="H39" s="6"/>
    </row>
    <row r="40" spans="1:8" x14ac:dyDescent="0.3">
      <c r="A40" s="3">
        <v>5</v>
      </c>
      <c r="B40" s="3" t="s">
        <v>48</v>
      </c>
      <c r="C40" s="3">
        <f>_xlfn.XLOOKUP(B40,'[1]Rotas - Veículos'!$A:$A,'[1]Rotas - Veículos'!$B:$B)</f>
        <v>58</v>
      </c>
      <c r="D40" s="3"/>
      <c r="E40" s="3" t="s">
        <v>56</v>
      </c>
      <c r="F40" s="4">
        <v>0.2388888888888889</v>
      </c>
      <c r="G40" s="5"/>
      <c r="H40" s="6"/>
    </row>
    <row r="41" spans="1:8" x14ac:dyDescent="0.3">
      <c r="A41" s="3">
        <v>6</v>
      </c>
      <c r="B41" s="3" t="s">
        <v>48</v>
      </c>
      <c r="C41" s="3">
        <f>_xlfn.XLOOKUP(B41,'[1]Rotas - Veículos'!$A:$A,'[1]Rotas - Veículos'!$B:$B)</f>
        <v>58</v>
      </c>
      <c r="D41" s="3"/>
      <c r="E41" s="3" t="s">
        <v>57</v>
      </c>
      <c r="F41" s="4">
        <v>0.24027777777777778</v>
      </c>
      <c r="G41" s="5"/>
      <c r="H41" s="6"/>
    </row>
    <row r="42" spans="1:8" x14ac:dyDescent="0.3">
      <c r="A42" s="3">
        <v>1</v>
      </c>
      <c r="B42" s="3" t="s">
        <v>58</v>
      </c>
      <c r="C42" s="3">
        <f>_xlfn.XLOOKUP(B42,'[1]Rotas - Veículos'!$A:$A,'[1]Rotas - Veículos'!$B:$B)</f>
        <v>62</v>
      </c>
      <c r="D42" s="3"/>
      <c r="E42" s="3" t="s">
        <v>59</v>
      </c>
      <c r="F42" s="4" t="s">
        <v>53</v>
      </c>
      <c r="G42" s="5"/>
      <c r="H42" s="6"/>
    </row>
    <row r="43" spans="1:8" x14ac:dyDescent="0.3">
      <c r="A43" s="3">
        <v>2</v>
      </c>
      <c r="B43" s="3" t="s">
        <v>58</v>
      </c>
      <c r="C43" s="3">
        <f>_xlfn.XLOOKUP(B43,'[1]Rotas - Veículos'!$A:$A,'[1]Rotas - Veículos'!$B:$B)</f>
        <v>62</v>
      </c>
      <c r="D43" s="3"/>
      <c r="E43" s="3" t="s">
        <v>60</v>
      </c>
      <c r="F43" s="4">
        <v>0.23680555555555555</v>
      </c>
      <c r="G43" s="5"/>
      <c r="H43" s="6"/>
    </row>
    <row r="44" spans="1:8" x14ac:dyDescent="0.3">
      <c r="A44" s="3">
        <v>3</v>
      </c>
      <c r="B44" s="3" t="s">
        <v>58</v>
      </c>
      <c r="C44" s="3">
        <f>_xlfn.XLOOKUP(B44,'[1]Rotas - Veículos'!$A:$A,'[1]Rotas - Veículos'!$B:$B)</f>
        <v>62</v>
      </c>
      <c r="D44" s="3"/>
      <c r="E44" s="3" t="s">
        <v>61</v>
      </c>
      <c r="F44" s="4" t="s">
        <v>62</v>
      </c>
      <c r="G44" s="5"/>
      <c r="H44" s="6"/>
    </row>
    <row r="45" spans="1:8" x14ac:dyDescent="0.3">
      <c r="A45" s="3">
        <v>4</v>
      </c>
      <c r="B45" s="3" t="s">
        <v>58</v>
      </c>
      <c r="C45" s="3">
        <f>_xlfn.XLOOKUP(B45,'[1]Rotas - Veículos'!$A:$A,'[1]Rotas - Veículos'!$B:$B)</f>
        <v>62</v>
      </c>
      <c r="D45" s="3"/>
      <c r="E45" s="3" t="s">
        <v>63</v>
      </c>
      <c r="F45" s="4">
        <v>0.2388888888888889</v>
      </c>
      <c r="G45" s="5"/>
      <c r="H45" s="6"/>
    </row>
    <row r="46" spans="1:8" x14ac:dyDescent="0.3">
      <c r="A46" s="3">
        <v>5</v>
      </c>
      <c r="B46" s="3" t="s">
        <v>58</v>
      </c>
      <c r="C46" s="3">
        <f>_xlfn.XLOOKUP(B46,'[1]Rotas - Veículos'!$A:$A,'[1]Rotas - Veículos'!$B:$B)</f>
        <v>62</v>
      </c>
      <c r="D46" s="3"/>
      <c r="E46" s="3" t="s">
        <v>57</v>
      </c>
      <c r="F46" s="4">
        <v>0.24027777777777778</v>
      </c>
      <c r="G46" s="5"/>
      <c r="H46" s="6"/>
    </row>
    <row r="47" spans="1:8" x14ac:dyDescent="0.3">
      <c r="A47" s="3">
        <v>1</v>
      </c>
      <c r="B47" s="3" t="s">
        <v>64</v>
      </c>
      <c r="C47" s="3">
        <f>_xlfn.XLOOKUP(B47,'[1]Rotas - Veículos'!$A:$A,'[1]Rotas - Veículos'!$B:$B)</f>
        <v>95</v>
      </c>
      <c r="D47" s="3"/>
      <c r="E47" s="3" t="s">
        <v>65</v>
      </c>
      <c r="F47" s="4" t="s">
        <v>55</v>
      </c>
      <c r="G47" s="5"/>
      <c r="H47" s="6"/>
    </row>
    <row r="48" spans="1:8" x14ac:dyDescent="0.3">
      <c r="A48" s="3">
        <v>2</v>
      </c>
      <c r="B48" s="3" t="s">
        <v>64</v>
      </c>
      <c r="C48" s="3">
        <f>_xlfn.XLOOKUP(B48,'[1]Rotas - Veículos'!$A:$A,'[1]Rotas - Veículos'!$B:$B)</f>
        <v>95</v>
      </c>
      <c r="D48" s="3"/>
      <c r="E48" s="3" t="s">
        <v>66</v>
      </c>
      <c r="F48" s="4" t="s">
        <v>67</v>
      </c>
      <c r="G48" s="5"/>
      <c r="H48" s="6"/>
    </row>
    <row r="49" spans="1:9" x14ac:dyDescent="0.3">
      <c r="A49" s="3">
        <v>3</v>
      </c>
      <c r="B49" s="3" t="s">
        <v>64</v>
      </c>
      <c r="C49" s="3">
        <f>_xlfn.XLOOKUP(B49,'[1]Rotas - Veículos'!$A:$A,'[1]Rotas - Veículos'!$B:$B)</f>
        <v>95</v>
      </c>
      <c r="D49" s="3"/>
      <c r="E49" s="3" t="s">
        <v>68</v>
      </c>
      <c r="F49" s="4">
        <v>0.24236111111111111</v>
      </c>
      <c r="G49" s="5"/>
      <c r="H49" s="6"/>
    </row>
    <row r="50" spans="1:9" x14ac:dyDescent="0.3">
      <c r="A50" s="3">
        <v>1</v>
      </c>
      <c r="B50" s="3" t="s">
        <v>69</v>
      </c>
      <c r="C50" s="3">
        <f>_xlfn.XLOOKUP(B50,'[1]Rotas - Veículos'!$A:$A,'[1]Rotas - Veículos'!$B:$B)</f>
        <v>97</v>
      </c>
      <c r="D50" s="3"/>
      <c r="E50" s="3" t="s">
        <v>66</v>
      </c>
      <c r="F50" s="4" t="s">
        <v>67</v>
      </c>
      <c r="G50" s="5"/>
      <c r="H50" s="6"/>
      <c r="I50" s="8"/>
    </row>
    <row r="51" spans="1:9" x14ac:dyDescent="0.3">
      <c r="A51" s="3">
        <v>2</v>
      </c>
      <c r="B51" s="3" t="s">
        <v>69</v>
      </c>
      <c r="C51" s="3">
        <f>_xlfn.XLOOKUP(B51,'[1]Rotas - Veículos'!$A:$A,'[1]Rotas - Veículos'!$B:$B)</f>
        <v>97</v>
      </c>
      <c r="D51" s="3"/>
      <c r="E51" s="3" t="s">
        <v>70</v>
      </c>
      <c r="F51" s="4" t="s">
        <v>71</v>
      </c>
      <c r="G51" s="5"/>
      <c r="H51" s="6"/>
      <c r="I51" s="8"/>
    </row>
    <row r="52" spans="1:9" x14ac:dyDescent="0.3">
      <c r="A52" s="3">
        <v>1</v>
      </c>
      <c r="B52" s="3" t="s">
        <v>72</v>
      </c>
      <c r="C52" s="3">
        <f>_xlfn.XLOOKUP(B52,'[1]Rotas - Veículos'!$A:$A,'[1]Rotas - Veículos'!$B:$B)</f>
        <v>46</v>
      </c>
      <c r="D52" s="3"/>
      <c r="E52" s="3" t="s">
        <v>73</v>
      </c>
      <c r="F52" s="4">
        <v>0.23680555555555555</v>
      </c>
      <c r="G52" s="5"/>
      <c r="H52" s="6"/>
      <c r="I52" s="8"/>
    </row>
    <row r="53" spans="1:9" x14ac:dyDescent="0.3">
      <c r="A53" s="3">
        <v>2</v>
      </c>
      <c r="B53" s="3" t="s">
        <v>72</v>
      </c>
      <c r="C53" s="3">
        <f>_xlfn.XLOOKUP(B53,'[1]Rotas - Veículos'!$A:$A,'[1]Rotas - Veículos'!$B:$B)</f>
        <v>46</v>
      </c>
      <c r="D53" s="3"/>
      <c r="E53" s="3" t="s">
        <v>74</v>
      </c>
      <c r="F53" s="4">
        <v>0.23749999999999999</v>
      </c>
      <c r="G53" s="5"/>
      <c r="H53" s="6"/>
      <c r="I53" s="8"/>
    </row>
    <row r="54" spans="1:9" x14ac:dyDescent="0.3">
      <c r="A54" s="3">
        <v>3</v>
      </c>
      <c r="B54" s="3" t="s">
        <v>72</v>
      </c>
      <c r="C54" s="3">
        <f>_xlfn.XLOOKUP(B54,'[1]Rotas - Veículos'!$A:$A,'[1]Rotas - Veículos'!$B:$B)</f>
        <v>46</v>
      </c>
      <c r="D54" s="3"/>
      <c r="E54" s="3" t="s">
        <v>75</v>
      </c>
      <c r="F54" s="4">
        <v>0.23819444444444443</v>
      </c>
      <c r="G54" s="5"/>
      <c r="H54" s="6"/>
      <c r="I54" s="8"/>
    </row>
    <row r="55" spans="1:9" x14ac:dyDescent="0.3">
      <c r="A55" s="3">
        <v>4</v>
      </c>
      <c r="B55" s="3" t="s">
        <v>72</v>
      </c>
      <c r="C55" s="3">
        <f>_xlfn.XLOOKUP(B55,'[1]Rotas - Veículos'!$A:$A,'[1]Rotas - Veículos'!$B:$B)</f>
        <v>46</v>
      </c>
      <c r="D55" s="3"/>
      <c r="E55" s="3" t="s">
        <v>76</v>
      </c>
      <c r="F55" s="4">
        <v>0.23958333333333334</v>
      </c>
      <c r="G55" s="5"/>
      <c r="H55" s="6"/>
      <c r="I55" s="8"/>
    </row>
    <row r="56" spans="1:9" x14ac:dyDescent="0.3">
      <c r="A56" s="3">
        <v>5</v>
      </c>
      <c r="B56" s="3" t="s">
        <v>72</v>
      </c>
      <c r="C56" s="3">
        <f>_xlfn.XLOOKUP(B56,'[1]Rotas - Veículos'!$A:$A,'[1]Rotas - Veículos'!$B:$B)</f>
        <v>46</v>
      </c>
      <c r="D56" s="3"/>
      <c r="E56" s="3" t="s">
        <v>77</v>
      </c>
      <c r="F56" s="4">
        <v>0.24166666666666667</v>
      </c>
      <c r="G56" s="5"/>
      <c r="H56" s="6"/>
      <c r="I56" s="8"/>
    </row>
    <row r="57" spans="1:9" x14ac:dyDescent="0.3">
      <c r="A57" s="3">
        <v>6</v>
      </c>
      <c r="B57" s="3" t="s">
        <v>72</v>
      </c>
      <c r="C57" s="3">
        <f>_xlfn.XLOOKUP(B57,'[1]Rotas - Veículos'!$A:$A,'[1]Rotas - Veículos'!$B:$B)</f>
        <v>46</v>
      </c>
      <c r="D57" s="3"/>
      <c r="E57" s="3" t="s">
        <v>78</v>
      </c>
      <c r="F57" s="4">
        <v>0.24374999999999999</v>
      </c>
      <c r="G57" s="5"/>
      <c r="H57" s="6"/>
    </row>
    <row r="58" spans="1:9" x14ac:dyDescent="0.3">
      <c r="A58" s="3">
        <v>7</v>
      </c>
      <c r="B58" s="3" t="s">
        <v>72</v>
      </c>
      <c r="C58" s="3">
        <f>_xlfn.XLOOKUP(B58,'[1]Rotas - Veículos'!$A:$A,'[1]Rotas - Veículos'!$B:$B)</f>
        <v>46</v>
      </c>
      <c r="D58" s="3"/>
      <c r="E58" s="3" t="s">
        <v>79</v>
      </c>
      <c r="F58" s="4">
        <v>0.24652777777777779</v>
      </c>
      <c r="G58" s="5"/>
      <c r="H58" s="6"/>
    </row>
    <row r="59" spans="1:9" x14ac:dyDescent="0.3">
      <c r="A59" s="3">
        <v>8</v>
      </c>
      <c r="B59" s="3" t="s">
        <v>72</v>
      </c>
      <c r="C59" s="3">
        <f>_xlfn.XLOOKUP(B59,'[1]Rotas - Veículos'!$A:$A,'[1]Rotas - Veículos'!$B:$B)</f>
        <v>46</v>
      </c>
      <c r="D59" s="3"/>
      <c r="E59" s="3" t="s">
        <v>80</v>
      </c>
      <c r="F59" s="4">
        <v>0.25694444444444442</v>
      </c>
      <c r="G59" s="5"/>
      <c r="H59" s="6"/>
    </row>
    <row r="60" spans="1:9" x14ac:dyDescent="0.3">
      <c r="A60" s="3">
        <v>9</v>
      </c>
      <c r="B60" s="3" t="s">
        <v>72</v>
      </c>
      <c r="C60" s="3">
        <f>_xlfn.XLOOKUP(B60,'[1]Rotas - Veículos'!$A:$A,'[1]Rotas - Veículos'!$B:$B)</f>
        <v>46</v>
      </c>
      <c r="D60" s="3"/>
      <c r="E60" s="3" t="s">
        <v>81</v>
      </c>
      <c r="F60" s="4">
        <v>0.26041666666666669</v>
      </c>
      <c r="G60" s="5"/>
      <c r="H60" s="6"/>
    </row>
    <row r="61" spans="1:9" x14ac:dyDescent="0.3">
      <c r="A61" s="3">
        <v>10</v>
      </c>
      <c r="B61" s="3" t="s">
        <v>72</v>
      </c>
      <c r="C61" s="3">
        <f>_xlfn.XLOOKUP(B61,'[1]Rotas - Veículos'!$A:$A,'[1]Rotas - Veículos'!$B:$B)</f>
        <v>46</v>
      </c>
      <c r="D61" s="3"/>
      <c r="E61" s="3" t="s">
        <v>82</v>
      </c>
      <c r="F61" s="4">
        <v>0.2638888888888889</v>
      </c>
      <c r="G61" s="5"/>
      <c r="H61" s="6"/>
    </row>
    <row r="62" spans="1:9" x14ac:dyDescent="0.3">
      <c r="A62" s="3">
        <v>1</v>
      </c>
      <c r="B62" s="3" t="s">
        <v>83</v>
      </c>
      <c r="C62" s="3">
        <f>_xlfn.XLOOKUP(B62,'[1]Rotas - Veículos'!$A:$A,'[1]Rotas - Veículos'!$B:$B)</f>
        <v>98</v>
      </c>
      <c r="D62" s="3"/>
      <c r="E62" s="3" t="s">
        <v>84</v>
      </c>
      <c r="F62" s="4">
        <v>0.24652777777777779</v>
      </c>
      <c r="G62" s="5"/>
      <c r="H62" s="6"/>
    </row>
    <row r="63" spans="1:9" x14ac:dyDescent="0.3">
      <c r="A63" s="3">
        <v>2</v>
      </c>
      <c r="B63" s="3" t="s">
        <v>83</v>
      </c>
      <c r="C63" s="3">
        <f>_xlfn.XLOOKUP(B63,'[1]Rotas - Veículos'!$A:$A,'[1]Rotas - Veículos'!$B:$B)</f>
        <v>98</v>
      </c>
      <c r="D63" s="3"/>
      <c r="E63" s="3" t="s">
        <v>75</v>
      </c>
      <c r="F63" s="4">
        <v>0.24791666666666667</v>
      </c>
      <c r="G63" s="5"/>
      <c r="H63" s="6"/>
    </row>
    <row r="64" spans="1:9" x14ac:dyDescent="0.3">
      <c r="A64" s="3">
        <v>3</v>
      </c>
      <c r="B64" s="3" t="s">
        <v>83</v>
      </c>
      <c r="C64" s="3">
        <f>_xlfn.XLOOKUP(B64,'[1]Rotas - Veículos'!$A:$A,'[1]Rotas - Veículos'!$B:$B)</f>
        <v>98</v>
      </c>
      <c r="D64" s="3"/>
      <c r="E64" s="3" t="s">
        <v>85</v>
      </c>
      <c r="F64" s="4">
        <v>0.24861111111111112</v>
      </c>
      <c r="G64" s="5"/>
      <c r="H64" s="6"/>
    </row>
    <row r="65" spans="1:8" x14ac:dyDescent="0.3">
      <c r="A65" s="3">
        <v>4</v>
      </c>
      <c r="B65" s="3" t="s">
        <v>83</v>
      </c>
      <c r="C65" s="3">
        <f>_xlfn.XLOOKUP(B65,'[1]Rotas - Veículos'!$A:$A,'[1]Rotas - Veículos'!$B:$B)</f>
        <v>98</v>
      </c>
      <c r="D65" s="3"/>
      <c r="E65" s="3" t="s">
        <v>73</v>
      </c>
      <c r="F65" s="4">
        <v>0.25</v>
      </c>
      <c r="G65" s="5"/>
      <c r="H65" s="6"/>
    </row>
    <row r="66" spans="1:8" x14ac:dyDescent="0.3">
      <c r="A66" s="3">
        <v>1</v>
      </c>
      <c r="B66" s="3" t="s">
        <v>86</v>
      </c>
      <c r="C66" s="3">
        <f>_xlfn.XLOOKUP(B66,'[1]Rotas - Veículos'!$A:$A,'[1]Rotas - Veículos'!$B:$B)</f>
        <v>54</v>
      </c>
      <c r="D66" s="3"/>
      <c r="E66" s="3" t="s">
        <v>87</v>
      </c>
      <c r="F66" s="4">
        <v>0.2326388888888889</v>
      </c>
      <c r="G66" s="5" t="str">
        <f>"-9.365246, -40.543667"</f>
        <v>-9.365246, -40.543667</v>
      </c>
      <c r="H66" s="6"/>
    </row>
    <row r="67" spans="1:8" x14ac:dyDescent="0.3">
      <c r="A67" s="3">
        <v>2</v>
      </c>
      <c r="B67" s="3" t="s">
        <v>86</v>
      </c>
      <c r="C67" s="3">
        <f>_xlfn.XLOOKUP(B67,'[1]Rotas - Veículos'!$A:$A,'[1]Rotas - Veículos'!$B:$B)</f>
        <v>54</v>
      </c>
      <c r="D67" s="3"/>
      <c r="E67" s="3" t="s">
        <v>88</v>
      </c>
      <c r="F67" s="4">
        <v>0.2361111111111111</v>
      </c>
      <c r="G67" s="5" t="str">
        <f>"-9.363877, -40.545832"</f>
        <v>-9.363877, -40.545832</v>
      </c>
      <c r="H67" s="6"/>
    </row>
    <row r="68" spans="1:8" x14ac:dyDescent="0.3">
      <c r="A68" s="3">
        <v>3</v>
      </c>
      <c r="B68" s="3" t="s">
        <v>86</v>
      </c>
      <c r="C68" s="3">
        <f>_xlfn.XLOOKUP(B68,'[1]Rotas - Veículos'!$A:$A,'[1]Rotas - Veículos'!$B:$B)</f>
        <v>54</v>
      </c>
      <c r="D68" s="3"/>
      <c r="E68" s="3" t="s">
        <v>89</v>
      </c>
      <c r="F68" s="4">
        <v>0.23819444444444443</v>
      </c>
      <c r="G68" s="5" t="str">
        <f>"-9.363583, -40.541740"</f>
        <v>-9.363583, -40.541740</v>
      </c>
      <c r="H68" s="6"/>
    </row>
    <row r="69" spans="1:8" x14ac:dyDescent="0.3">
      <c r="A69" s="3">
        <v>4</v>
      </c>
      <c r="B69" s="3" t="s">
        <v>86</v>
      </c>
      <c r="C69" s="3">
        <f>_xlfn.XLOOKUP(B69,'[1]Rotas - Veículos'!$A:$A,'[1]Rotas - Veículos'!$B:$B)</f>
        <v>54</v>
      </c>
      <c r="D69" s="3"/>
      <c r="E69" s="3" t="s">
        <v>90</v>
      </c>
      <c r="F69" s="4">
        <v>0.24027777777777778</v>
      </c>
      <c r="G69" s="5" t="str">
        <f>"-9.359481621190037, -40.5397560882302"</f>
        <v>-9.359481621190037, -40.5397560882302</v>
      </c>
      <c r="H69" s="6"/>
    </row>
    <row r="70" spans="1:8" x14ac:dyDescent="0.3">
      <c r="A70" s="3">
        <v>5</v>
      </c>
      <c r="B70" s="3" t="s">
        <v>86</v>
      </c>
      <c r="C70" s="3">
        <f>_xlfn.XLOOKUP(B70,'[1]Rotas - Veículos'!$A:$A,'[1]Rotas - Veículos'!$B:$B)</f>
        <v>54</v>
      </c>
      <c r="D70" s="3"/>
      <c r="E70" s="3" t="s">
        <v>91</v>
      </c>
      <c r="F70" s="4">
        <v>0.24166666666666667</v>
      </c>
      <c r="G70" s="5" t="str">
        <f>"-9.359048397854394, -40.538287968050874"</f>
        <v>-9.359048397854394, -40.538287968050874</v>
      </c>
      <c r="H70" s="6"/>
    </row>
    <row r="71" spans="1:8" x14ac:dyDescent="0.3">
      <c r="A71" s="3">
        <v>6</v>
      </c>
      <c r="B71" s="3" t="s">
        <v>86</v>
      </c>
      <c r="C71" s="3">
        <f>_xlfn.XLOOKUP(B71,'[1]Rotas - Veículos'!$A:$A,'[1]Rotas - Veículos'!$B:$B)</f>
        <v>54</v>
      </c>
      <c r="D71" s="3"/>
      <c r="E71" s="3" t="s">
        <v>90</v>
      </c>
      <c r="F71" s="4">
        <v>0.24305555555555555</v>
      </c>
      <c r="G71" s="5" t="str">
        <f>"-9.358208, -40.535322"</f>
        <v>-9.358208, -40.535322</v>
      </c>
      <c r="H71" s="6"/>
    </row>
    <row r="72" spans="1:8" x14ac:dyDescent="0.3">
      <c r="A72" s="3">
        <v>7</v>
      </c>
      <c r="B72" s="3" t="s">
        <v>86</v>
      </c>
      <c r="C72" s="3">
        <f>_xlfn.XLOOKUP(B72,'[1]Rotas - Veículos'!$A:$A,'[1]Rotas - Veículos'!$B:$B)</f>
        <v>54</v>
      </c>
      <c r="D72" s="3"/>
      <c r="E72" s="3" t="s">
        <v>92</v>
      </c>
      <c r="F72" s="4">
        <v>0.24652777777777779</v>
      </c>
      <c r="G72" s="5" t="str">
        <f>"-9.359951, -40.534526"</f>
        <v>-9.359951, -40.534526</v>
      </c>
      <c r="H72" s="6"/>
    </row>
    <row r="73" spans="1:8" x14ac:dyDescent="0.3">
      <c r="A73" s="3">
        <v>8</v>
      </c>
      <c r="B73" s="3" t="s">
        <v>86</v>
      </c>
      <c r="C73" s="3">
        <f>_xlfn.XLOOKUP(B73,'[1]Rotas - Veículos'!$A:$A,'[1]Rotas - Veículos'!$B:$B)</f>
        <v>54</v>
      </c>
      <c r="D73" s="3"/>
      <c r="E73" s="3" t="s">
        <v>93</v>
      </c>
      <c r="F73" s="4">
        <v>0.25</v>
      </c>
      <c r="G73" s="5" t="str">
        <f>"-9.366827, -40.530108"</f>
        <v>-9.366827, -40.530108</v>
      </c>
      <c r="H73" s="6"/>
    </row>
    <row r="74" spans="1:8" x14ac:dyDescent="0.3">
      <c r="A74" s="3">
        <v>9</v>
      </c>
      <c r="B74" s="3" t="s">
        <v>86</v>
      </c>
      <c r="C74" s="3">
        <f>_xlfn.XLOOKUP(B74,'[1]Rotas - Veículos'!$A:$A,'[1]Rotas - Veículos'!$B:$B)</f>
        <v>54</v>
      </c>
      <c r="D74" s="3"/>
      <c r="E74" s="3" t="s">
        <v>94</v>
      </c>
      <c r="F74" s="4">
        <v>0.25277777777777777</v>
      </c>
      <c r="G74" s="5" t="str">
        <f>"-9.351204, -40.518834"</f>
        <v>-9.351204, -40.518834</v>
      </c>
      <c r="H74" s="6"/>
    </row>
    <row r="75" spans="1:8" x14ac:dyDescent="0.3">
      <c r="A75" s="3">
        <v>10</v>
      </c>
      <c r="B75" s="3" t="s">
        <v>86</v>
      </c>
      <c r="C75" s="3">
        <f>_xlfn.XLOOKUP(B75,'[1]Rotas - Veículos'!$A:$A,'[1]Rotas - Veículos'!$B:$B)</f>
        <v>54</v>
      </c>
      <c r="D75" s="3"/>
      <c r="E75" s="3" t="s">
        <v>95</v>
      </c>
      <c r="F75" s="4">
        <v>0.25416666666666665</v>
      </c>
      <c r="G75" s="5"/>
      <c r="H75" s="6"/>
    </row>
    <row r="76" spans="1:8" x14ac:dyDescent="0.3">
      <c r="A76" s="3">
        <v>11</v>
      </c>
      <c r="B76" s="3" t="s">
        <v>86</v>
      </c>
      <c r="C76" s="3">
        <f>_xlfn.XLOOKUP(B76,'[1]Rotas - Veículos'!$A:$A,'[1]Rotas - Veículos'!$B:$B)</f>
        <v>54</v>
      </c>
      <c r="D76" s="3"/>
      <c r="E76" s="3" t="s">
        <v>96</v>
      </c>
      <c r="F76" s="4">
        <v>0.25624999999999998</v>
      </c>
      <c r="G76" s="5"/>
      <c r="H76" s="6"/>
    </row>
    <row r="77" spans="1:8" x14ac:dyDescent="0.3">
      <c r="A77" s="3">
        <v>12</v>
      </c>
      <c r="B77" s="3" t="s">
        <v>86</v>
      </c>
      <c r="C77" s="3">
        <f>_xlfn.XLOOKUP(B77,'[1]Rotas - Veículos'!$A:$A,'[1]Rotas - Veículos'!$B:$B)</f>
        <v>54</v>
      </c>
      <c r="D77" s="3"/>
      <c r="E77" s="3" t="s">
        <v>97</v>
      </c>
      <c r="F77" s="4">
        <v>0.25763888888888886</v>
      </c>
      <c r="G77" s="5" t="str">
        <f>"-9.343271, -40.482004"</f>
        <v>-9.343271, -40.482004</v>
      </c>
      <c r="H77" s="6"/>
    </row>
    <row r="78" spans="1:8" x14ac:dyDescent="0.3">
      <c r="A78" s="3">
        <v>13</v>
      </c>
      <c r="B78" s="3" t="s">
        <v>86</v>
      </c>
      <c r="C78" s="3">
        <v>54</v>
      </c>
      <c r="D78" s="3"/>
      <c r="E78" s="3" t="s">
        <v>98</v>
      </c>
      <c r="F78" s="4">
        <v>0.25972222222222224</v>
      </c>
      <c r="G78" s="5"/>
      <c r="H78" s="6"/>
    </row>
    <row r="79" spans="1:8" x14ac:dyDescent="0.3">
      <c r="A79" s="3">
        <v>1</v>
      </c>
      <c r="B79" s="3" t="s">
        <v>99</v>
      </c>
      <c r="C79" s="3">
        <v>105</v>
      </c>
      <c r="D79" s="3"/>
      <c r="E79" s="3" t="s">
        <v>100</v>
      </c>
      <c r="F79" s="4">
        <v>0.22916666666666666</v>
      </c>
      <c r="G79" s="5" t="str">
        <f>"-9.384199, -40.519341"</f>
        <v>-9.384199, -40.519341</v>
      </c>
      <c r="H79" s="6"/>
    </row>
    <row r="80" spans="1:8" x14ac:dyDescent="0.3">
      <c r="A80" s="3">
        <v>2</v>
      </c>
      <c r="B80" s="3" t="s">
        <v>99</v>
      </c>
      <c r="C80" s="3">
        <v>105</v>
      </c>
      <c r="D80" s="3"/>
      <c r="E80" s="3" t="s">
        <v>101</v>
      </c>
      <c r="F80" s="4">
        <v>0.2326388888888889</v>
      </c>
      <c r="G80" s="5" t="str">
        <f>"-9.366147, -40.514936"</f>
        <v>-9.366147, -40.514936</v>
      </c>
      <c r="H80" s="6"/>
    </row>
    <row r="81" spans="1:8" x14ac:dyDescent="0.3">
      <c r="A81" s="3">
        <v>3</v>
      </c>
      <c r="B81" s="3" t="s">
        <v>99</v>
      </c>
      <c r="C81" s="3">
        <v>105</v>
      </c>
      <c r="D81" s="3"/>
      <c r="E81" s="3" t="s">
        <v>102</v>
      </c>
      <c r="F81" s="4">
        <v>0.23402777777777778</v>
      </c>
      <c r="G81" s="5" t="str">
        <f>"-9.359724, -40.516557"</f>
        <v>-9.359724, -40.516557</v>
      </c>
      <c r="H81" s="6"/>
    </row>
    <row r="82" spans="1:8" x14ac:dyDescent="0.3">
      <c r="A82" s="3">
        <v>4</v>
      </c>
      <c r="B82" s="3" t="s">
        <v>99</v>
      </c>
      <c r="C82" s="3">
        <v>105</v>
      </c>
      <c r="D82" s="3"/>
      <c r="E82" s="3" t="s">
        <v>103</v>
      </c>
      <c r="F82" s="4">
        <v>0.2361111111111111</v>
      </c>
      <c r="G82" s="5" t="str">
        <f>"-9.345557, -40.520373"</f>
        <v>-9.345557, -40.520373</v>
      </c>
      <c r="H82" s="6"/>
    </row>
    <row r="83" spans="1:8" x14ac:dyDescent="0.3">
      <c r="A83" s="3">
        <v>5</v>
      </c>
      <c r="B83" s="3" t="s">
        <v>99</v>
      </c>
      <c r="C83" s="3">
        <v>105</v>
      </c>
      <c r="D83" s="3"/>
      <c r="E83" s="3" t="s">
        <v>104</v>
      </c>
      <c r="F83" s="4">
        <v>0.23958333333333334</v>
      </c>
      <c r="G83" s="5" t="str">
        <f>"-9.330782, -40.508114"</f>
        <v>-9.330782, -40.508114</v>
      </c>
      <c r="H83" s="6"/>
    </row>
    <row r="84" spans="1:8" x14ac:dyDescent="0.3">
      <c r="A84" s="3">
        <v>6</v>
      </c>
      <c r="B84" s="3" t="s">
        <v>99</v>
      </c>
      <c r="C84" s="3">
        <v>105</v>
      </c>
      <c r="D84" s="3"/>
      <c r="E84" s="3" t="s">
        <v>105</v>
      </c>
      <c r="F84" s="4">
        <v>0.24305555555555555</v>
      </c>
      <c r="G84" s="5" t="str">
        <f>"-9.291162, -40.509016"</f>
        <v>-9.291162, -40.509016</v>
      </c>
      <c r="H84" s="6"/>
    </row>
    <row r="85" spans="1:8" x14ac:dyDescent="0.3">
      <c r="A85" s="3">
        <v>7</v>
      </c>
      <c r="B85" s="3" t="s">
        <v>99</v>
      </c>
      <c r="C85" s="3">
        <v>105</v>
      </c>
      <c r="D85" s="3"/>
      <c r="E85" s="3" t="s">
        <v>106</v>
      </c>
      <c r="F85" s="4">
        <v>0.24513888888888888</v>
      </c>
      <c r="G85" s="5" t="str">
        <f>"-9.296560, -40.500584"</f>
        <v>-9.296560, -40.500584</v>
      </c>
      <c r="H85" s="6"/>
    </row>
    <row r="86" spans="1:8" x14ac:dyDescent="0.3">
      <c r="A86" s="3">
        <v>8</v>
      </c>
      <c r="B86" s="3" t="s">
        <v>99</v>
      </c>
      <c r="C86" s="3">
        <v>105</v>
      </c>
      <c r="D86" s="3"/>
      <c r="E86" s="3" t="s">
        <v>107</v>
      </c>
      <c r="F86" s="4">
        <v>0.24861111111111112</v>
      </c>
      <c r="G86" s="5" t="str">
        <f>"-9.301897, -40.4871"</f>
        <v>-9.301897, -40.4871</v>
      </c>
      <c r="H86" s="6"/>
    </row>
    <row r="87" spans="1:8" x14ac:dyDescent="0.3">
      <c r="A87" s="3">
        <v>9</v>
      </c>
      <c r="B87" s="3" t="s">
        <v>99</v>
      </c>
      <c r="C87" s="3">
        <v>105</v>
      </c>
      <c r="D87" s="3"/>
      <c r="E87" s="3" t="s">
        <v>108</v>
      </c>
      <c r="F87" s="4">
        <v>0.25</v>
      </c>
      <c r="G87" s="5" t="str">
        <f>"-9.293379, -40.4649"</f>
        <v>-9.293379, -40.4649</v>
      </c>
      <c r="H87" s="6"/>
    </row>
    <row r="88" spans="1:8" x14ac:dyDescent="0.3">
      <c r="A88" s="3">
        <v>10</v>
      </c>
      <c r="B88" s="3" t="s">
        <v>99</v>
      </c>
      <c r="C88" s="3">
        <v>105</v>
      </c>
      <c r="D88" s="3"/>
      <c r="E88" s="3" t="s">
        <v>109</v>
      </c>
      <c r="F88" s="4">
        <v>0.25555555555555554</v>
      </c>
      <c r="G88" s="5" t="str">
        <f>"-9.294475, -40.431614"</f>
        <v>-9.294475, -40.431614</v>
      </c>
      <c r="H88" s="6"/>
    </row>
    <row r="89" spans="1:8" x14ac:dyDescent="0.3">
      <c r="A89" s="3">
        <v>1</v>
      </c>
      <c r="B89" s="3" t="s">
        <v>110</v>
      </c>
      <c r="C89" s="3">
        <f>_xlfn.XLOOKUP(B89,'[1]Rotas - Veículos'!$A:$A,'[1]Rotas - Veículos'!$B:$B)</f>
        <v>94</v>
      </c>
      <c r="D89" s="3"/>
      <c r="E89" s="3" t="s">
        <v>111</v>
      </c>
      <c r="F89" s="4">
        <v>0.22569444444444445</v>
      </c>
      <c r="G89" s="5" t="str">
        <f>"-9.402506, -40.545978"</f>
        <v>-9.402506, -40.545978</v>
      </c>
      <c r="H89" s="6"/>
    </row>
    <row r="90" spans="1:8" x14ac:dyDescent="0.3">
      <c r="A90" s="3">
        <v>2</v>
      </c>
      <c r="B90" s="3" t="s">
        <v>110</v>
      </c>
      <c r="C90" s="3">
        <f>_xlfn.XLOOKUP(B90,'[1]Rotas - Veículos'!$A:$A,'[1]Rotas - Veículos'!$B:$B)</f>
        <v>94</v>
      </c>
      <c r="D90" s="3"/>
      <c r="E90" s="3" t="s">
        <v>112</v>
      </c>
      <c r="F90" s="4">
        <v>0.22708333333333333</v>
      </c>
      <c r="G90" s="5" t="str">
        <f>"-9.404419, -40.553226"</f>
        <v>-9.404419, -40.553226</v>
      </c>
      <c r="H90" s="6"/>
    </row>
    <row r="91" spans="1:8" x14ac:dyDescent="0.3">
      <c r="A91" s="3">
        <v>3</v>
      </c>
      <c r="B91" s="3" t="s">
        <v>110</v>
      </c>
      <c r="C91" s="3">
        <f>_xlfn.XLOOKUP(B91,'[1]Rotas - Veículos'!$A:$A,'[1]Rotas - Veículos'!$B:$B)</f>
        <v>94</v>
      </c>
      <c r="D91" s="3"/>
      <c r="E91" s="3" t="s">
        <v>113</v>
      </c>
      <c r="F91" s="4">
        <v>0.22708333333333333</v>
      </c>
      <c r="G91" s="5" t="str">
        <f>"-9.405623, -40.557876"</f>
        <v>-9.405623, -40.557876</v>
      </c>
      <c r="H91" s="6"/>
    </row>
    <row r="92" spans="1:8" x14ac:dyDescent="0.3">
      <c r="A92" s="3">
        <v>4</v>
      </c>
      <c r="B92" s="3" t="s">
        <v>110</v>
      </c>
      <c r="C92" s="3">
        <f>_xlfn.XLOOKUP(B92,'[1]Rotas - Veículos'!$A:$A,'[1]Rotas - Veículos'!$B:$B)</f>
        <v>94</v>
      </c>
      <c r="D92" s="3"/>
      <c r="E92" s="3" t="s">
        <v>114</v>
      </c>
      <c r="F92" s="4">
        <v>0.22916666666666666</v>
      </c>
      <c r="G92" s="5"/>
      <c r="H92" s="6"/>
    </row>
    <row r="93" spans="1:8" x14ac:dyDescent="0.3">
      <c r="A93" s="3">
        <v>5</v>
      </c>
      <c r="B93" s="3" t="s">
        <v>110</v>
      </c>
      <c r="C93" s="3">
        <f>_xlfn.XLOOKUP(B93,'[1]Rotas - Veículos'!$A:$A,'[1]Rotas - Veículos'!$B:$B)</f>
        <v>94</v>
      </c>
      <c r="D93" s="3"/>
      <c r="E93" s="3" t="s">
        <v>115</v>
      </c>
      <c r="F93" s="4">
        <v>0.2326388888888889</v>
      </c>
      <c r="G93" s="5" t="str">
        <f>"-9.412617, -40.556534"</f>
        <v>-9.412617, -40.556534</v>
      </c>
      <c r="H93" s="6"/>
    </row>
    <row r="94" spans="1:8" x14ac:dyDescent="0.3">
      <c r="A94" s="3">
        <v>6</v>
      </c>
      <c r="B94" s="3" t="s">
        <v>110</v>
      </c>
      <c r="C94" s="3">
        <f>_xlfn.XLOOKUP(B94,'[1]Rotas - Veículos'!$A:$A,'[1]Rotas - Veículos'!$B:$B)</f>
        <v>94</v>
      </c>
      <c r="D94" s="3"/>
      <c r="E94" s="3" t="s">
        <v>116</v>
      </c>
      <c r="F94" s="4">
        <v>0.23680555555555555</v>
      </c>
      <c r="G94" s="5" t="str">
        <f>"-9.393482, -40.562662"</f>
        <v>-9.393482, -40.562662</v>
      </c>
      <c r="H94" s="6"/>
    </row>
    <row r="95" spans="1:8" x14ac:dyDescent="0.3">
      <c r="A95" s="3">
        <v>7</v>
      </c>
      <c r="B95" s="3" t="s">
        <v>110</v>
      </c>
      <c r="C95" s="3">
        <f>_xlfn.XLOOKUP(B95,'[1]Rotas - Veículos'!$A:$A,'[1]Rotas - Veículos'!$B:$B)</f>
        <v>94</v>
      </c>
      <c r="D95" s="3"/>
      <c r="E95" s="3" t="s">
        <v>117</v>
      </c>
      <c r="F95" s="4">
        <v>0.24027777777777778</v>
      </c>
      <c r="G95" s="5" t="str">
        <f>"-9.393707, -40.547007"</f>
        <v>-9.393707, -40.547007</v>
      </c>
      <c r="H95" s="6"/>
    </row>
    <row r="96" spans="1:8" x14ac:dyDescent="0.3">
      <c r="A96" s="3">
        <v>8</v>
      </c>
      <c r="B96" s="3" t="s">
        <v>110</v>
      </c>
      <c r="C96" s="3">
        <f>_xlfn.XLOOKUP(B96,'[1]Rotas - Veículos'!$A:$A,'[1]Rotas - Veículos'!$B:$B)</f>
        <v>94</v>
      </c>
      <c r="D96" s="3"/>
      <c r="E96" s="3" t="s">
        <v>118</v>
      </c>
      <c r="F96" s="4">
        <v>0.24166666666666667</v>
      </c>
      <c r="G96" s="5" t="str">
        <f>"-9.390985969526968, -40.55041884671896"</f>
        <v>-9.390985969526968, -40.55041884671896</v>
      </c>
      <c r="H96" s="6"/>
    </row>
    <row r="97" spans="1:8" x14ac:dyDescent="0.3">
      <c r="A97" s="3">
        <v>9</v>
      </c>
      <c r="B97" s="3" t="s">
        <v>110</v>
      </c>
      <c r="C97" s="3">
        <f>_xlfn.XLOOKUP(B97,'[1]Rotas - Veículos'!$A:$A,'[1]Rotas - Veículos'!$B:$B)</f>
        <v>94</v>
      </c>
      <c r="D97" s="3"/>
      <c r="E97" s="3" t="s">
        <v>119</v>
      </c>
      <c r="F97" s="4">
        <v>0.24305555555555555</v>
      </c>
      <c r="G97" s="5" t="str">
        <f>"-9.387989654526482, -40.54938075148678"</f>
        <v>-9.387989654526482, -40.54938075148678</v>
      </c>
      <c r="H97" s="6"/>
    </row>
    <row r="98" spans="1:8" x14ac:dyDescent="0.3">
      <c r="A98" s="3">
        <v>10</v>
      </c>
      <c r="B98" s="3" t="s">
        <v>110</v>
      </c>
      <c r="C98" s="3">
        <f>_xlfn.XLOOKUP(B98,'[1]Rotas - Veículos'!$A:$A,'[1]Rotas - Veículos'!$B:$B)</f>
        <v>94</v>
      </c>
      <c r="D98" s="3"/>
      <c r="E98" s="3" t="s">
        <v>120</v>
      </c>
      <c r="F98" s="4">
        <v>0.24374999999999999</v>
      </c>
      <c r="G98" s="5" t="str">
        <f>"-9.384194890365341, -40.548055238368455"</f>
        <v>-9.384194890365341, -40.548055238368455</v>
      </c>
      <c r="H98" s="6"/>
    </row>
    <row r="99" spans="1:8" x14ac:dyDescent="0.3">
      <c r="A99" s="3">
        <v>11</v>
      </c>
      <c r="B99" s="3" t="s">
        <v>110</v>
      </c>
      <c r="C99" s="3">
        <f>_xlfn.XLOOKUP(B99,'[1]Rotas - Veículos'!$A:$A,'[1]Rotas - Veículos'!$B:$B)</f>
        <v>94</v>
      </c>
      <c r="D99" s="3"/>
      <c r="E99" s="3" t="s">
        <v>121</v>
      </c>
      <c r="F99" s="4">
        <v>0.24513888888888888</v>
      </c>
      <c r="G99" s="5" t="str">
        <f>"-9.384867, -40.544646"</f>
        <v>-9.384867, -40.544646</v>
      </c>
      <c r="H99" s="6"/>
    </row>
    <row r="100" spans="1:8" x14ac:dyDescent="0.3">
      <c r="A100" s="3">
        <v>12</v>
      </c>
      <c r="B100" s="3" t="s">
        <v>110</v>
      </c>
      <c r="C100" s="3">
        <v>94</v>
      </c>
      <c r="D100" s="3"/>
      <c r="E100" s="3" t="s">
        <v>122</v>
      </c>
      <c r="F100" s="4">
        <v>0.24652777777777779</v>
      </c>
      <c r="G100" s="5"/>
      <c r="H100" s="6"/>
    </row>
    <row r="101" spans="1:8" x14ac:dyDescent="0.3">
      <c r="A101" s="3">
        <v>13</v>
      </c>
      <c r="B101" s="3" t="s">
        <v>110</v>
      </c>
      <c r="C101" s="3">
        <f>_xlfn.XLOOKUP(B101,'[1]Rotas - Veículos'!$A:$A,'[1]Rotas - Veículos'!$B:$B)</f>
        <v>94</v>
      </c>
      <c r="D101" s="3"/>
      <c r="E101" s="3" t="s">
        <v>123</v>
      </c>
      <c r="F101" s="4">
        <v>0.24722222222222223</v>
      </c>
      <c r="G101" s="5" t="str">
        <f>"-9.380840, -40.540895"</f>
        <v>-9.380840, -40.540895</v>
      </c>
      <c r="H101" s="6"/>
    </row>
    <row r="102" spans="1:8" x14ac:dyDescent="0.3">
      <c r="A102" s="3">
        <v>14</v>
      </c>
      <c r="B102" s="3" t="s">
        <v>110</v>
      </c>
      <c r="C102" s="3">
        <f>_xlfn.XLOOKUP(B102,'[1]Rotas - Veículos'!$A:$A,'[1]Rotas - Veículos'!$B:$B)</f>
        <v>94</v>
      </c>
      <c r="D102" s="3"/>
      <c r="E102" s="3" t="s">
        <v>124</v>
      </c>
      <c r="F102" s="4">
        <v>0.24861111111111112</v>
      </c>
      <c r="G102" s="5" t="str">
        <f>"-9.378677, -40.535179"</f>
        <v>-9.378677, -40.535179</v>
      </c>
      <c r="H102" s="6"/>
    </row>
    <row r="103" spans="1:8" x14ac:dyDescent="0.3">
      <c r="A103" s="3">
        <v>15</v>
      </c>
      <c r="B103" s="3" t="s">
        <v>110</v>
      </c>
      <c r="C103" s="3">
        <f>_xlfn.XLOOKUP(B103,'[1]Rotas - Veículos'!$A:$A,'[1]Rotas - Veículos'!$B:$B)</f>
        <v>94</v>
      </c>
      <c r="D103" s="3"/>
      <c r="E103" s="3" t="s">
        <v>125</v>
      </c>
      <c r="F103" s="4">
        <v>0.25</v>
      </c>
      <c r="G103" s="5" t="str">
        <f>"-9.382850, -40.530895"</f>
        <v>-9.382850, -40.530895</v>
      </c>
      <c r="H103" s="6"/>
    </row>
    <row r="104" spans="1:8" x14ac:dyDescent="0.3">
      <c r="A104" s="3">
        <v>1</v>
      </c>
      <c r="B104" s="3" t="s">
        <v>126</v>
      </c>
      <c r="C104" s="3">
        <f>_xlfn.XLOOKUP(B104,'[1]Rotas - Veículos'!$A:$A,'[1]Rotas - Veículos'!$B:$B)</f>
        <v>65</v>
      </c>
      <c r="D104" s="3"/>
      <c r="E104" s="3" t="s">
        <v>127</v>
      </c>
      <c r="F104" s="4">
        <v>0.23958333333333334</v>
      </c>
      <c r="G104" s="5" t="str">
        <f>"-9.385722381775507, -40.51201924864383"</f>
        <v>-9.385722381775507, -40.51201924864383</v>
      </c>
      <c r="H104" s="6"/>
    </row>
    <row r="105" spans="1:8" x14ac:dyDescent="0.3">
      <c r="A105" s="3">
        <v>2</v>
      </c>
      <c r="B105" s="3" t="s">
        <v>126</v>
      </c>
      <c r="C105" s="3">
        <f>_xlfn.XLOOKUP(B105,'[1]Rotas - Veículos'!$A:$A,'[1]Rotas - Veículos'!$B:$B)</f>
        <v>65</v>
      </c>
      <c r="D105" s="3"/>
      <c r="E105" s="3" t="s">
        <v>128</v>
      </c>
      <c r="F105" s="4">
        <v>0.24097222222222223</v>
      </c>
      <c r="G105" s="5" t="str">
        <f>"-9.374831, -40.512021"</f>
        <v>-9.374831, -40.512021</v>
      </c>
      <c r="H105" s="6"/>
    </row>
    <row r="106" spans="1:8" x14ac:dyDescent="0.3">
      <c r="A106" s="3">
        <v>3</v>
      </c>
      <c r="B106" s="3" t="s">
        <v>126</v>
      </c>
      <c r="C106" s="3">
        <f>_xlfn.XLOOKUP(B106,'[1]Rotas - Veículos'!$A:$A,'[1]Rotas - Veículos'!$B:$B)</f>
        <v>65</v>
      </c>
      <c r="D106" s="3"/>
      <c r="E106" s="3" t="s">
        <v>129</v>
      </c>
      <c r="F106" s="4">
        <v>0.24305555555555555</v>
      </c>
      <c r="G106" s="5"/>
      <c r="H106" s="6"/>
    </row>
    <row r="107" spans="1:8" x14ac:dyDescent="0.3">
      <c r="A107" s="3">
        <v>4</v>
      </c>
      <c r="B107" s="3" t="s">
        <v>126</v>
      </c>
      <c r="C107" s="3">
        <f>_xlfn.XLOOKUP(B107,'[1]Rotas - Veículos'!$A:$A,'[1]Rotas - Veículos'!$B:$B)</f>
        <v>65</v>
      </c>
      <c r="D107" s="3"/>
      <c r="E107" s="3" t="s">
        <v>130</v>
      </c>
      <c r="F107" s="4">
        <v>0.24583333333333332</v>
      </c>
      <c r="G107" s="5" t="str">
        <f>"-9.365648, -40.507036"</f>
        <v>-9.365648, -40.507036</v>
      </c>
      <c r="H107" s="6"/>
    </row>
    <row r="108" spans="1:8" x14ac:dyDescent="0.3">
      <c r="A108" s="3">
        <v>5</v>
      </c>
      <c r="B108" s="3" t="s">
        <v>126</v>
      </c>
      <c r="C108" s="3">
        <f>_xlfn.XLOOKUP(B108,'[1]Rotas - Veículos'!$A:$A,'[1]Rotas - Veículos'!$B:$B)</f>
        <v>65</v>
      </c>
      <c r="D108" s="3"/>
      <c r="E108" s="3" t="s">
        <v>131</v>
      </c>
      <c r="F108" s="4">
        <v>0.24722222222222223</v>
      </c>
      <c r="G108" s="5" t="str">
        <f>"-9.362996518982904, -40.5048252648069"</f>
        <v>-9.362996518982904, -40.5048252648069</v>
      </c>
      <c r="H108" s="6"/>
    </row>
    <row r="109" spans="1:8" x14ac:dyDescent="0.3">
      <c r="A109" s="3">
        <v>6</v>
      </c>
      <c r="B109" s="3" t="s">
        <v>126</v>
      </c>
      <c r="C109" s="3">
        <f>_xlfn.XLOOKUP(B109,'[1]Rotas - Veículos'!$A:$A,'[1]Rotas - Veículos'!$B:$B)</f>
        <v>65</v>
      </c>
      <c r="D109" s="3"/>
      <c r="E109" s="3" t="s">
        <v>132</v>
      </c>
      <c r="F109" s="4">
        <v>0.24861111111111112</v>
      </c>
      <c r="G109" s="5" t="str">
        <f>"-9.359063, -40.501503"</f>
        <v>-9.359063, -40.501503</v>
      </c>
      <c r="H109" s="6"/>
    </row>
    <row r="110" spans="1:8" x14ac:dyDescent="0.3">
      <c r="A110" s="3">
        <v>7</v>
      </c>
      <c r="B110" s="3" t="s">
        <v>126</v>
      </c>
      <c r="C110" s="3">
        <f>_xlfn.XLOOKUP(B110,'[1]Rotas - Veículos'!$A:$A,'[1]Rotas - Veículos'!$B:$B)</f>
        <v>65</v>
      </c>
      <c r="D110" s="3"/>
      <c r="E110" s="3" t="s">
        <v>133</v>
      </c>
      <c r="F110" s="4">
        <v>0.25</v>
      </c>
      <c r="G110" s="5" t="str">
        <f>"-9.357398, -40.500099"</f>
        <v>-9.357398, -40.500099</v>
      </c>
      <c r="H110" s="6"/>
    </row>
    <row r="111" spans="1:8" x14ac:dyDescent="0.3">
      <c r="A111" s="3">
        <v>8</v>
      </c>
      <c r="B111" s="3" t="s">
        <v>126</v>
      </c>
      <c r="C111" s="3">
        <f>_xlfn.XLOOKUP(B111,'[1]Rotas - Veículos'!$A:$A,'[1]Rotas - Veículos'!$B:$B)</f>
        <v>65</v>
      </c>
      <c r="D111" s="3"/>
      <c r="E111" s="3" t="s">
        <v>134</v>
      </c>
      <c r="F111" s="4">
        <v>0.25138888888888888</v>
      </c>
      <c r="G111" s="5" t="str">
        <f>"-9.354007165953576, -40.50262478713166"</f>
        <v>-9.354007165953576, -40.50262478713166</v>
      </c>
      <c r="H111" s="6"/>
    </row>
    <row r="112" spans="1:8" x14ac:dyDescent="0.3">
      <c r="A112" s="3">
        <v>1</v>
      </c>
      <c r="B112" s="3" t="s">
        <v>135</v>
      </c>
      <c r="C112" s="3">
        <f>_xlfn.XLOOKUP(B112,'[1]Rotas - Veículos'!$A:$A,'[1]Rotas - Veículos'!$B:$B)</f>
        <v>99</v>
      </c>
      <c r="D112" s="3"/>
      <c r="E112" s="3" t="s">
        <v>136</v>
      </c>
      <c r="F112" s="4" t="s">
        <v>53</v>
      </c>
      <c r="G112" s="5" t="str">
        <f>"-9.386934, -40.466792"</f>
        <v>-9.386934, -40.466792</v>
      </c>
      <c r="H112" s="6"/>
    </row>
    <row r="113" spans="1:8" x14ac:dyDescent="0.3">
      <c r="A113" s="3">
        <v>2</v>
      </c>
      <c r="B113" s="3" t="s">
        <v>135</v>
      </c>
      <c r="C113" s="3">
        <f>_xlfn.XLOOKUP(B113,'[1]Rotas - Veículos'!$A:$A,'[1]Rotas - Veículos'!$B:$B)</f>
        <v>99</v>
      </c>
      <c r="D113" s="3"/>
      <c r="E113" s="3" t="s">
        <v>137</v>
      </c>
      <c r="F113" s="4" t="s">
        <v>55</v>
      </c>
      <c r="G113" s="5" t="str">
        <f>"-9.386269, -40.467911"</f>
        <v>-9.386269, -40.467911</v>
      </c>
      <c r="H113" s="6"/>
    </row>
    <row r="114" spans="1:8" x14ac:dyDescent="0.3">
      <c r="A114" s="3">
        <v>3</v>
      </c>
      <c r="B114" s="3" t="s">
        <v>135</v>
      </c>
      <c r="C114" s="3">
        <f>_xlfn.XLOOKUP(B114,'[1]Rotas - Veículos'!$A:$A,'[1]Rotas - Veículos'!$B:$B)</f>
        <v>99</v>
      </c>
      <c r="D114" s="3"/>
      <c r="E114" s="3" t="s">
        <v>137</v>
      </c>
      <c r="F114" s="4" t="s">
        <v>67</v>
      </c>
      <c r="G114" s="5" t="str">
        <f>"-9.384819, -40.469873"</f>
        <v>-9.384819, -40.469873</v>
      </c>
      <c r="H114" s="6"/>
    </row>
    <row r="115" spans="1:8" x14ac:dyDescent="0.3">
      <c r="A115" s="3">
        <v>4</v>
      </c>
      <c r="B115" s="3" t="s">
        <v>135</v>
      </c>
      <c r="C115" s="3">
        <f>_xlfn.XLOOKUP(B115,'[1]Rotas - Veículos'!$A:$A,'[1]Rotas - Veículos'!$B:$B)</f>
        <v>99</v>
      </c>
      <c r="D115" s="3"/>
      <c r="E115" s="3" t="s">
        <v>138</v>
      </c>
      <c r="F115" s="4">
        <v>0.24097222222222223</v>
      </c>
      <c r="G115" s="5" t="str">
        <f>"-9.390291, -40.470805"</f>
        <v>-9.390291, -40.470805</v>
      </c>
      <c r="H115" s="6"/>
    </row>
    <row r="116" spans="1:8" x14ac:dyDescent="0.3">
      <c r="A116" s="3">
        <v>5</v>
      </c>
      <c r="B116" s="3" t="s">
        <v>135</v>
      </c>
      <c r="C116" s="3">
        <f>_xlfn.XLOOKUP(B116,'[1]Rotas - Veículos'!$A:$A,'[1]Rotas - Veículos'!$B:$B)</f>
        <v>99</v>
      </c>
      <c r="D116" s="3"/>
      <c r="E116" s="3" t="s">
        <v>139</v>
      </c>
      <c r="F116" s="4">
        <v>0.24166666666666667</v>
      </c>
      <c r="G116" s="5" t="str">
        <f>"-9.392155, -40.471385"</f>
        <v>-9.392155, -40.471385</v>
      </c>
      <c r="H116" s="6"/>
    </row>
    <row r="117" spans="1:8" x14ac:dyDescent="0.3">
      <c r="A117" s="3">
        <v>6</v>
      </c>
      <c r="B117" s="3" t="s">
        <v>135</v>
      </c>
      <c r="C117" s="3">
        <f>_xlfn.XLOOKUP(B117,'[1]Rotas - Veículos'!$A:$A,'[1]Rotas - Veículos'!$B:$B)</f>
        <v>99</v>
      </c>
      <c r="D117" s="3"/>
      <c r="E117" s="3" t="s">
        <v>140</v>
      </c>
      <c r="F117" s="4">
        <v>0.24513888888888888</v>
      </c>
      <c r="G117" s="5" t="str">
        <f>"-9.384273, -40.483739"</f>
        <v>-9.384273, -40.483739</v>
      </c>
      <c r="H117" s="6"/>
    </row>
    <row r="118" spans="1:8" x14ac:dyDescent="0.3">
      <c r="A118" s="3">
        <v>7</v>
      </c>
      <c r="B118" s="3" t="s">
        <v>135</v>
      </c>
      <c r="C118" s="3">
        <f>_xlfn.XLOOKUP(B118,'[1]Rotas - Veículos'!$A:$A,'[1]Rotas - Veículos'!$B:$B)</f>
        <v>99</v>
      </c>
      <c r="D118" s="3"/>
      <c r="E118" s="3" t="s">
        <v>141</v>
      </c>
      <c r="F118" s="4">
        <v>0.24861111111111112</v>
      </c>
      <c r="G118" s="5" t="str">
        <f>"-9.367525, -40.495221"</f>
        <v>-9.367525, -40.495221</v>
      </c>
      <c r="H118" s="6"/>
    </row>
    <row r="119" spans="1:8" x14ac:dyDescent="0.3">
      <c r="A119" s="3">
        <v>8</v>
      </c>
      <c r="B119" s="3" t="s">
        <v>135</v>
      </c>
      <c r="C119" s="3">
        <f>_xlfn.XLOOKUP(B119,'[1]Rotas - Veículos'!$A:$A,'[1]Rotas - Veículos'!$B:$B)</f>
        <v>99</v>
      </c>
      <c r="D119" s="3"/>
      <c r="E119" s="3" t="s">
        <v>142</v>
      </c>
      <c r="F119" s="4">
        <v>0.25069444444444444</v>
      </c>
      <c r="G119" s="5" t="str">
        <f>"-9.364527, -40.498807"</f>
        <v>-9.364527, -40.498807</v>
      </c>
      <c r="H119" s="6"/>
    </row>
    <row r="120" spans="1:8" x14ac:dyDescent="0.3">
      <c r="A120" s="3">
        <v>9</v>
      </c>
      <c r="B120" s="3" t="s">
        <v>135</v>
      </c>
      <c r="C120" s="3">
        <f>_xlfn.XLOOKUP(B120,'[1]Rotas - Veículos'!$A:$A,'[1]Rotas - Veículos'!$B:$B)</f>
        <v>99</v>
      </c>
      <c r="D120" s="3"/>
      <c r="E120" s="3" t="s">
        <v>143</v>
      </c>
      <c r="F120" s="4">
        <v>0.25277777777777777</v>
      </c>
      <c r="G120" s="5" t="str">
        <f>"-9.360754, -40.495801"</f>
        <v>-9.360754, -40.495801</v>
      </c>
      <c r="H120" s="6"/>
    </row>
    <row r="121" spans="1:8" x14ac:dyDescent="0.3">
      <c r="A121" s="3">
        <v>10</v>
      </c>
      <c r="B121" s="3" t="s">
        <v>135</v>
      </c>
      <c r="C121" s="3">
        <f>_xlfn.XLOOKUP(B121,'[1]Rotas - Veículos'!$A:$A,'[1]Rotas - Veículos'!$B:$B)</f>
        <v>99</v>
      </c>
      <c r="D121" s="3"/>
      <c r="E121" s="3" t="s">
        <v>144</v>
      </c>
      <c r="F121" s="4">
        <v>0.25347222222222221</v>
      </c>
      <c r="G121" s="5" t="str">
        <f>"-9.358488, -40.491757"</f>
        <v>-9.358488, -40.491757</v>
      </c>
      <c r="H121" s="6"/>
    </row>
    <row r="122" spans="1:8" x14ac:dyDescent="0.3">
      <c r="A122" s="3">
        <v>11</v>
      </c>
      <c r="B122" s="3" t="s">
        <v>135</v>
      </c>
      <c r="C122" s="3">
        <v>99</v>
      </c>
      <c r="D122" s="3"/>
      <c r="E122" s="3" t="s">
        <v>145</v>
      </c>
      <c r="F122" s="4">
        <v>0.25416666666666665</v>
      </c>
      <c r="G122" s="5"/>
      <c r="H122" s="6"/>
    </row>
    <row r="123" spans="1:8" x14ac:dyDescent="0.3">
      <c r="A123" s="3">
        <v>12</v>
      </c>
      <c r="B123" s="3" t="s">
        <v>135</v>
      </c>
      <c r="C123" s="3">
        <f>_xlfn.XLOOKUP(B123,'[1]Rotas - Veículos'!$A:$A,'[1]Rotas - Veículos'!$B:$B)</f>
        <v>99</v>
      </c>
      <c r="D123" s="3"/>
      <c r="E123" s="3" t="s">
        <v>146</v>
      </c>
      <c r="F123" s="4">
        <v>0.25555555555555554</v>
      </c>
      <c r="G123" s="5" t="str">
        <f>"-9.351638, -40.492410"</f>
        <v>-9.351638, -40.492410</v>
      </c>
      <c r="H123" s="6"/>
    </row>
    <row r="124" spans="1:8" x14ac:dyDescent="0.3">
      <c r="A124" s="3">
        <v>13</v>
      </c>
      <c r="B124" s="3" t="s">
        <v>135</v>
      </c>
      <c r="C124" s="3">
        <f>_xlfn.XLOOKUP(B124,'[1]Rotas - Veículos'!$A:$A,'[1]Rotas - Veículos'!$B:$B)</f>
        <v>99</v>
      </c>
      <c r="D124" s="3"/>
      <c r="E124" s="3" t="s">
        <v>147</v>
      </c>
      <c r="F124" s="4">
        <v>0.25902777777777775</v>
      </c>
      <c r="G124" s="5" t="str">
        <f>"-9.347708, -40.494504"</f>
        <v>-9.347708, -40.494504</v>
      </c>
      <c r="H124" s="6"/>
    </row>
  </sheetData>
  <autoFilter ref="A2:H124" xr:uid="{A168D242-1828-40A7-B72F-6511EB70DA06}">
    <sortState xmlns:xlrd2="http://schemas.microsoft.com/office/spreadsheetml/2017/richdata2" ref="A3:H124">
      <sortCondition ref="B2:B124"/>
    </sortState>
  </autoFilter>
  <mergeCells count="1">
    <mergeCell ref="A1:H1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rowBreaks count="12" manualBreakCount="12">
    <brk id="19" max="16383" man="1"/>
    <brk id="35" max="16383" man="1"/>
    <brk id="41" max="16383" man="1"/>
    <brk id="46" max="16383" man="1"/>
    <brk id="49" max="16383" man="1"/>
    <brk id="51" max="16383" man="1"/>
    <brk id="61" max="16383" man="1"/>
    <brk id="65" max="6" man="1"/>
    <brk id="78" max="6" man="1"/>
    <brk id="88" max="6" man="1"/>
    <brk id="103" max="6" man="1"/>
    <brk id="11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26E6-6DF8-4AD5-8024-F68E758F189E}">
  <dimension ref="A1:C86"/>
  <sheetViews>
    <sheetView tabSelected="1" workbookViewId="0">
      <selection activeCell="G5" sqref="G5"/>
    </sheetView>
  </sheetViews>
  <sheetFormatPr defaultRowHeight="14.4" x14ac:dyDescent="0.3"/>
  <cols>
    <col min="1" max="1" width="8.44140625" bestFit="1" customWidth="1"/>
    <col min="3" max="3" width="12" bestFit="1" customWidth="1"/>
  </cols>
  <sheetData>
    <row r="1" spans="1:3" x14ac:dyDescent="0.3">
      <c r="A1" s="14" t="s">
        <v>148</v>
      </c>
      <c r="B1" s="14" t="s">
        <v>149</v>
      </c>
      <c r="C1" s="14" t="s">
        <v>150</v>
      </c>
    </row>
    <row r="2" spans="1:3" x14ac:dyDescent="0.3">
      <c r="A2" s="15" t="s">
        <v>151</v>
      </c>
      <c r="B2" s="6" t="s">
        <v>152</v>
      </c>
      <c r="C2" s="6">
        <v>48</v>
      </c>
    </row>
    <row r="3" spans="1:3" x14ac:dyDescent="0.3">
      <c r="A3" s="16" t="s">
        <v>153</v>
      </c>
      <c r="B3" s="17" t="s">
        <v>154</v>
      </c>
      <c r="C3" s="17">
        <v>48</v>
      </c>
    </row>
    <row r="4" spans="1:3" x14ac:dyDescent="0.3">
      <c r="A4" s="15" t="s">
        <v>155</v>
      </c>
      <c r="B4" s="6" t="s">
        <v>156</v>
      </c>
      <c r="C4" s="6">
        <v>48</v>
      </c>
    </row>
    <row r="5" spans="1:3" x14ac:dyDescent="0.3">
      <c r="A5" s="16" t="s">
        <v>157</v>
      </c>
      <c r="B5" s="17" t="s">
        <v>158</v>
      </c>
      <c r="C5" s="17">
        <v>48</v>
      </c>
    </row>
    <row r="6" spans="1:3" x14ac:dyDescent="0.3">
      <c r="A6" s="15" t="s">
        <v>159</v>
      </c>
      <c r="B6" s="6" t="s">
        <v>160</v>
      </c>
      <c r="C6" s="6">
        <v>48</v>
      </c>
    </row>
    <row r="7" spans="1:3" x14ac:dyDescent="0.3">
      <c r="A7" s="16" t="s">
        <v>161</v>
      </c>
      <c r="B7" s="17" t="s">
        <v>162</v>
      </c>
      <c r="C7" s="17">
        <v>48</v>
      </c>
    </row>
    <row r="8" spans="1:3" x14ac:dyDescent="0.3">
      <c r="A8" s="15" t="s">
        <v>163</v>
      </c>
      <c r="B8" s="6" t="s">
        <v>164</v>
      </c>
      <c r="C8" s="6">
        <v>48</v>
      </c>
    </row>
    <row r="9" spans="1:3" x14ac:dyDescent="0.3">
      <c r="A9" s="16" t="s">
        <v>165</v>
      </c>
      <c r="B9" s="17" t="s">
        <v>166</v>
      </c>
      <c r="C9" s="17">
        <v>48</v>
      </c>
    </row>
    <row r="10" spans="1:3" x14ac:dyDescent="0.3">
      <c r="A10" s="15" t="s">
        <v>167</v>
      </c>
      <c r="B10" s="6" t="s">
        <v>168</v>
      </c>
      <c r="C10" s="6">
        <v>48</v>
      </c>
    </row>
    <row r="11" spans="1:3" x14ac:dyDescent="0.3">
      <c r="A11" s="16">
        <v>10</v>
      </c>
      <c r="B11" s="17" t="s">
        <v>169</v>
      </c>
      <c r="C11" s="17">
        <v>48</v>
      </c>
    </row>
    <row r="12" spans="1:3" x14ac:dyDescent="0.3">
      <c r="A12" s="15">
        <v>11</v>
      </c>
      <c r="B12" s="6" t="s">
        <v>170</v>
      </c>
      <c r="C12" s="6">
        <v>48</v>
      </c>
    </row>
    <row r="13" spans="1:3" x14ac:dyDescent="0.3">
      <c r="A13" s="16">
        <v>12</v>
      </c>
      <c r="B13" s="17" t="s">
        <v>171</v>
      </c>
      <c r="C13" s="17">
        <v>46</v>
      </c>
    </row>
    <row r="14" spans="1:3" x14ac:dyDescent="0.3">
      <c r="A14" s="15">
        <v>13</v>
      </c>
      <c r="B14" s="6" t="s">
        <v>172</v>
      </c>
      <c r="C14" s="6">
        <v>46</v>
      </c>
    </row>
    <row r="15" spans="1:3" x14ac:dyDescent="0.3">
      <c r="A15" s="16">
        <v>14</v>
      </c>
      <c r="B15" s="17" t="s">
        <v>173</v>
      </c>
      <c r="C15" s="17">
        <v>48</v>
      </c>
    </row>
    <row r="16" spans="1:3" x14ac:dyDescent="0.3">
      <c r="A16" s="15">
        <v>15</v>
      </c>
      <c r="B16" s="6" t="s">
        <v>174</v>
      </c>
      <c r="C16" s="6">
        <v>48</v>
      </c>
    </row>
    <row r="17" spans="1:3" x14ac:dyDescent="0.3">
      <c r="A17" s="16">
        <v>201</v>
      </c>
      <c r="B17" s="17" t="s">
        <v>175</v>
      </c>
      <c r="C17" s="17">
        <v>48</v>
      </c>
    </row>
    <row r="18" spans="1:3" x14ac:dyDescent="0.3">
      <c r="A18" s="15">
        <v>202</v>
      </c>
      <c r="B18" s="6" t="s">
        <v>176</v>
      </c>
      <c r="C18" s="6">
        <v>48</v>
      </c>
    </row>
    <row r="19" spans="1:3" x14ac:dyDescent="0.3">
      <c r="A19" s="16">
        <v>203</v>
      </c>
      <c r="B19" s="17" t="s">
        <v>177</v>
      </c>
      <c r="C19" s="17">
        <v>48</v>
      </c>
    </row>
    <row r="20" spans="1:3" x14ac:dyDescent="0.3">
      <c r="A20" s="15">
        <v>204</v>
      </c>
      <c r="B20" s="6" t="s">
        <v>178</v>
      </c>
      <c r="C20" s="6">
        <v>48</v>
      </c>
    </row>
    <row r="21" spans="1:3" x14ac:dyDescent="0.3">
      <c r="A21" s="16">
        <v>205</v>
      </c>
      <c r="B21" s="17" t="s">
        <v>179</v>
      </c>
      <c r="C21" s="17">
        <v>48</v>
      </c>
    </row>
    <row r="22" spans="1:3" x14ac:dyDescent="0.3">
      <c r="A22" s="15">
        <v>206</v>
      </c>
      <c r="B22" s="6" t="s">
        <v>180</v>
      </c>
      <c r="C22" s="6">
        <v>48</v>
      </c>
    </row>
    <row r="23" spans="1:3" x14ac:dyDescent="0.3">
      <c r="A23" s="16">
        <v>207</v>
      </c>
      <c r="B23" s="17" t="s">
        <v>181</v>
      </c>
      <c r="C23" s="17">
        <v>48</v>
      </c>
    </row>
    <row r="24" spans="1:3" x14ac:dyDescent="0.3">
      <c r="A24" s="15">
        <v>17</v>
      </c>
      <c r="B24" s="6" t="s">
        <v>182</v>
      </c>
      <c r="C24" s="6">
        <v>42</v>
      </c>
    </row>
    <row r="25" spans="1:3" x14ac:dyDescent="0.3">
      <c r="A25" s="16">
        <v>20</v>
      </c>
      <c r="B25" s="17" t="s">
        <v>183</v>
      </c>
      <c r="C25" s="17">
        <v>42</v>
      </c>
    </row>
    <row r="26" spans="1:3" x14ac:dyDescent="0.3">
      <c r="A26" s="15">
        <v>23</v>
      </c>
      <c r="B26" s="6" t="s">
        <v>184</v>
      </c>
      <c r="C26" s="6">
        <v>42</v>
      </c>
    </row>
    <row r="27" spans="1:3" x14ac:dyDescent="0.3">
      <c r="A27" s="16">
        <v>24</v>
      </c>
      <c r="B27" s="17" t="s">
        <v>185</v>
      </c>
      <c r="C27" s="17">
        <v>44</v>
      </c>
    </row>
    <row r="28" spans="1:3" x14ac:dyDescent="0.3">
      <c r="A28" s="15">
        <v>25</v>
      </c>
      <c r="B28" s="6" t="s">
        <v>186</v>
      </c>
      <c r="C28" s="6">
        <v>44</v>
      </c>
    </row>
    <row r="29" spans="1:3" x14ac:dyDescent="0.3">
      <c r="A29" s="16">
        <v>26</v>
      </c>
      <c r="B29" s="17" t="s">
        <v>187</v>
      </c>
      <c r="C29" s="17">
        <v>42</v>
      </c>
    </row>
    <row r="30" spans="1:3" x14ac:dyDescent="0.3">
      <c r="A30" s="15">
        <v>27</v>
      </c>
      <c r="B30" s="6" t="s">
        <v>188</v>
      </c>
      <c r="C30" s="6">
        <v>44</v>
      </c>
    </row>
    <row r="31" spans="1:3" x14ac:dyDescent="0.3">
      <c r="A31" s="16">
        <v>28</v>
      </c>
      <c r="B31" s="17" t="s">
        <v>189</v>
      </c>
      <c r="C31" s="17">
        <v>41</v>
      </c>
    </row>
    <row r="32" spans="1:3" x14ac:dyDescent="0.3">
      <c r="A32" s="15">
        <v>46</v>
      </c>
      <c r="B32" s="6" t="s">
        <v>190</v>
      </c>
      <c r="C32" s="6">
        <v>44</v>
      </c>
    </row>
    <row r="33" spans="1:3" x14ac:dyDescent="0.3">
      <c r="A33" s="16">
        <v>47</v>
      </c>
      <c r="B33" s="17" t="s">
        <v>191</v>
      </c>
      <c r="C33" s="17">
        <v>48</v>
      </c>
    </row>
    <row r="34" spans="1:3" x14ac:dyDescent="0.3">
      <c r="A34" s="15">
        <v>48</v>
      </c>
      <c r="B34" s="6" t="s">
        <v>192</v>
      </c>
      <c r="C34" s="6">
        <v>48</v>
      </c>
    </row>
    <row r="35" spans="1:3" x14ac:dyDescent="0.3">
      <c r="A35" s="16">
        <v>50</v>
      </c>
      <c r="B35" s="17" t="s">
        <v>193</v>
      </c>
      <c r="C35" s="17">
        <v>45</v>
      </c>
    </row>
    <row r="36" spans="1:3" x14ac:dyDescent="0.3">
      <c r="A36" s="15">
        <v>51</v>
      </c>
      <c r="B36" s="6" t="s">
        <v>194</v>
      </c>
      <c r="C36" s="6">
        <v>45</v>
      </c>
    </row>
    <row r="37" spans="1:3" x14ac:dyDescent="0.3">
      <c r="A37" s="16">
        <v>52</v>
      </c>
      <c r="B37" s="17" t="s">
        <v>195</v>
      </c>
      <c r="C37" s="17">
        <v>45</v>
      </c>
    </row>
    <row r="38" spans="1:3" x14ac:dyDescent="0.3">
      <c r="A38" s="15">
        <v>53</v>
      </c>
      <c r="B38" s="6" t="s">
        <v>196</v>
      </c>
      <c r="C38" s="6">
        <v>45</v>
      </c>
    </row>
    <row r="39" spans="1:3" x14ac:dyDescent="0.3">
      <c r="A39" s="16">
        <v>54</v>
      </c>
      <c r="B39" s="17" t="s">
        <v>197</v>
      </c>
      <c r="C39" s="17">
        <v>45</v>
      </c>
    </row>
    <row r="40" spans="1:3" x14ac:dyDescent="0.3">
      <c r="A40" s="15">
        <v>55</v>
      </c>
      <c r="B40" s="6" t="s">
        <v>198</v>
      </c>
      <c r="C40" s="6">
        <v>45</v>
      </c>
    </row>
    <row r="41" spans="1:3" x14ac:dyDescent="0.3">
      <c r="A41" s="16">
        <v>56</v>
      </c>
      <c r="B41" s="17" t="s">
        <v>199</v>
      </c>
      <c r="C41" s="17">
        <v>45</v>
      </c>
    </row>
    <row r="42" spans="1:3" x14ac:dyDescent="0.3">
      <c r="A42" s="15">
        <v>57</v>
      </c>
      <c r="B42" s="6" t="s">
        <v>200</v>
      </c>
      <c r="C42" s="6">
        <v>45</v>
      </c>
    </row>
    <row r="43" spans="1:3" x14ac:dyDescent="0.3">
      <c r="A43" s="16">
        <v>58</v>
      </c>
      <c r="B43" s="17" t="s">
        <v>201</v>
      </c>
      <c r="C43" s="17">
        <v>45</v>
      </c>
    </row>
    <row r="44" spans="1:3" x14ac:dyDescent="0.3">
      <c r="A44" s="15">
        <v>59</v>
      </c>
      <c r="B44" s="6" t="s">
        <v>202</v>
      </c>
      <c r="C44" s="6">
        <v>45</v>
      </c>
    </row>
    <row r="45" spans="1:3" x14ac:dyDescent="0.3">
      <c r="A45" s="16">
        <v>61</v>
      </c>
      <c r="B45" s="17" t="s">
        <v>203</v>
      </c>
      <c r="C45" s="17">
        <v>45</v>
      </c>
    </row>
    <row r="46" spans="1:3" x14ac:dyDescent="0.3">
      <c r="A46" s="15">
        <v>62</v>
      </c>
      <c r="B46" s="6" t="s">
        <v>204</v>
      </c>
      <c r="C46" s="6">
        <v>45</v>
      </c>
    </row>
    <row r="47" spans="1:3" x14ac:dyDescent="0.3">
      <c r="A47" s="16">
        <v>63</v>
      </c>
      <c r="B47" s="17" t="s">
        <v>205</v>
      </c>
      <c r="C47" s="17">
        <v>45</v>
      </c>
    </row>
    <row r="48" spans="1:3" x14ac:dyDescent="0.3">
      <c r="A48" s="15">
        <v>64</v>
      </c>
      <c r="B48" s="6" t="s">
        <v>206</v>
      </c>
      <c r="C48" s="6">
        <v>45</v>
      </c>
    </row>
    <row r="49" spans="1:3" x14ac:dyDescent="0.3">
      <c r="A49" s="16">
        <v>65</v>
      </c>
      <c r="B49" s="17" t="s">
        <v>207</v>
      </c>
      <c r="C49" s="17">
        <v>45</v>
      </c>
    </row>
    <row r="50" spans="1:3" x14ac:dyDescent="0.3">
      <c r="A50" s="15">
        <v>81</v>
      </c>
      <c r="B50" s="6" t="s">
        <v>208</v>
      </c>
      <c r="C50" s="6">
        <v>45</v>
      </c>
    </row>
    <row r="51" spans="1:3" x14ac:dyDescent="0.3">
      <c r="A51" s="16">
        <v>83</v>
      </c>
      <c r="B51" s="17" t="s">
        <v>209</v>
      </c>
      <c r="C51" s="17">
        <v>45</v>
      </c>
    </row>
    <row r="52" spans="1:3" x14ac:dyDescent="0.3">
      <c r="A52" s="15">
        <v>88</v>
      </c>
      <c r="B52" s="6" t="s">
        <v>210</v>
      </c>
      <c r="C52" s="6">
        <v>48</v>
      </c>
    </row>
    <row r="53" spans="1:3" x14ac:dyDescent="0.3">
      <c r="A53" s="16">
        <v>89</v>
      </c>
      <c r="B53" s="17" t="s">
        <v>211</v>
      </c>
      <c r="C53" s="17">
        <v>45</v>
      </c>
    </row>
    <row r="54" spans="1:3" x14ac:dyDescent="0.3">
      <c r="A54" s="15">
        <v>91</v>
      </c>
      <c r="B54" s="6" t="s">
        <v>212</v>
      </c>
      <c r="C54" s="6">
        <v>45</v>
      </c>
    </row>
    <row r="55" spans="1:3" x14ac:dyDescent="0.3">
      <c r="A55" s="16">
        <v>94</v>
      </c>
      <c r="B55" s="17" t="s">
        <v>213</v>
      </c>
      <c r="C55" s="17">
        <v>48</v>
      </c>
    </row>
    <row r="56" spans="1:3" x14ac:dyDescent="0.3">
      <c r="A56" s="15">
        <v>95</v>
      </c>
      <c r="B56" s="6" t="s">
        <v>214</v>
      </c>
      <c r="C56" s="6">
        <v>48</v>
      </c>
    </row>
    <row r="57" spans="1:3" x14ac:dyDescent="0.3">
      <c r="A57" s="16">
        <v>96</v>
      </c>
      <c r="B57" s="17" t="s">
        <v>215</v>
      </c>
      <c r="C57" s="17">
        <v>45</v>
      </c>
    </row>
    <row r="58" spans="1:3" x14ac:dyDescent="0.3">
      <c r="A58" s="15">
        <v>97</v>
      </c>
      <c r="B58" s="6" t="s">
        <v>216</v>
      </c>
      <c r="C58" s="6">
        <v>48</v>
      </c>
    </row>
    <row r="59" spans="1:3" x14ac:dyDescent="0.3">
      <c r="A59" s="16">
        <v>98</v>
      </c>
      <c r="B59" s="17" t="s">
        <v>217</v>
      </c>
      <c r="C59" s="17">
        <v>48</v>
      </c>
    </row>
    <row r="60" spans="1:3" x14ac:dyDescent="0.3">
      <c r="A60" s="15">
        <v>99</v>
      </c>
      <c r="B60" s="6" t="s">
        <v>218</v>
      </c>
      <c r="C60" s="6">
        <v>48</v>
      </c>
    </row>
    <row r="61" spans="1:3" x14ac:dyDescent="0.3">
      <c r="A61" s="16">
        <v>102</v>
      </c>
      <c r="B61" s="17" t="s">
        <v>219</v>
      </c>
      <c r="C61" s="17">
        <v>45</v>
      </c>
    </row>
    <row r="62" spans="1:3" x14ac:dyDescent="0.3">
      <c r="A62" s="15">
        <v>103</v>
      </c>
      <c r="B62" s="6" t="s">
        <v>220</v>
      </c>
      <c r="C62" s="6">
        <v>45</v>
      </c>
    </row>
    <row r="63" spans="1:3" x14ac:dyDescent="0.3">
      <c r="A63" s="16">
        <v>104</v>
      </c>
      <c r="B63" s="17" t="s">
        <v>221</v>
      </c>
      <c r="C63" s="17">
        <v>45</v>
      </c>
    </row>
    <row r="64" spans="1:3" x14ac:dyDescent="0.3">
      <c r="A64" s="15">
        <v>105</v>
      </c>
      <c r="B64" s="6" t="s">
        <v>222</v>
      </c>
      <c r="C64" s="6">
        <v>48</v>
      </c>
    </row>
    <row r="65" spans="1:3" x14ac:dyDescent="0.3">
      <c r="A65" s="16">
        <v>106</v>
      </c>
      <c r="B65" s="17" t="s">
        <v>223</v>
      </c>
      <c r="C65" s="17">
        <v>48</v>
      </c>
    </row>
    <row r="66" spans="1:3" x14ac:dyDescent="0.3">
      <c r="A66" s="15">
        <v>107</v>
      </c>
      <c r="B66" s="6" t="s">
        <v>224</v>
      </c>
      <c r="C66" s="6">
        <v>48</v>
      </c>
    </row>
    <row r="67" spans="1:3" x14ac:dyDescent="0.3">
      <c r="A67" s="16">
        <v>108</v>
      </c>
      <c r="B67" s="17" t="s">
        <v>225</v>
      </c>
      <c r="C67" s="17">
        <v>48</v>
      </c>
    </row>
    <row r="68" spans="1:3" x14ac:dyDescent="0.3">
      <c r="A68" s="15">
        <v>109</v>
      </c>
      <c r="B68" s="6" t="s">
        <v>226</v>
      </c>
      <c r="C68" s="6">
        <v>48</v>
      </c>
    </row>
    <row r="69" spans="1:3" x14ac:dyDescent="0.3">
      <c r="A69" s="16">
        <v>110</v>
      </c>
      <c r="B69" s="17" t="s">
        <v>227</v>
      </c>
      <c r="C69" s="17">
        <v>48</v>
      </c>
    </row>
    <row r="70" spans="1:3" x14ac:dyDescent="0.3">
      <c r="A70" s="15">
        <v>111</v>
      </c>
      <c r="B70" s="6" t="s">
        <v>228</v>
      </c>
      <c r="C70" s="6">
        <v>48</v>
      </c>
    </row>
    <row r="71" spans="1:3" x14ac:dyDescent="0.3">
      <c r="A71" s="16">
        <v>100</v>
      </c>
      <c r="B71" s="17" t="s">
        <v>229</v>
      </c>
      <c r="C71" s="17">
        <v>48</v>
      </c>
    </row>
    <row r="72" spans="1:3" x14ac:dyDescent="0.3">
      <c r="A72" s="15" t="s">
        <v>230</v>
      </c>
      <c r="B72" s="6"/>
      <c r="C72" s="6">
        <v>48</v>
      </c>
    </row>
    <row r="73" spans="1:3" x14ac:dyDescent="0.3">
      <c r="A73" s="16">
        <v>101</v>
      </c>
      <c r="B73" s="17" t="s">
        <v>231</v>
      </c>
      <c r="C73" s="17">
        <v>48</v>
      </c>
    </row>
    <row r="74" spans="1:3" x14ac:dyDescent="0.3">
      <c r="A74" s="15" t="s">
        <v>232</v>
      </c>
      <c r="B74" s="6" t="s">
        <v>233</v>
      </c>
      <c r="C74" s="6">
        <v>15</v>
      </c>
    </row>
    <row r="75" spans="1:3" x14ac:dyDescent="0.3">
      <c r="A75" s="16" t="s">
        <v>234</v>
      </c>
      <c r="B75" s="17" t="s">
        <v>235</v>
      </c>
      <c r="C75" s="17">
        <v>15</v>
      </c>
    </row>
    <row r="76" spans="1:3" x14ac:dyDescent="0.3">
      <c r="A76" s="15" t="s">
        <v>236</v>
      </c>
      <c r="B76" s="6" t="s">
        <v>237</v>
      </c>
      <c r="C76" s="6">
        <v>18</v>
      </c>
    </row>
    <row r="77" spans="1:3" x14ac:dyDescent="0.3">
      <c r="A77" s="16" t="s">
        <v>238</v>
      </c>
      <c r="B77" s="17" t="s">
        <v>239</v>
      </c>
      <c r="C77" s="17">
        <v>15</v>
      </c>
    </row>
    <row r="78" spans="1:3" x14ac:dyDescent="0.3">
      <c r="A78" s="15" t="s">
        <v>240</v>
      </c>
      <c r="B78" s="6" t="s">
        <v>241</v>
      </c>
      <c r="C78" s="6">
        <v>15</v>
      </c>
    </row>
    <row r="79" spans="1:3" x14ac:dyDescent="0.3">
      <c r="A79" s="16" t="s">
        <v>242</v>
      </c>
      <c r="B79" s="17" t="s">
        <v>243</v>
      </c>
      <c r="C79" s="17">
        <v>15</v>
      </c>
    </row>
    <row r="80" spans="1:3" x14ac:dyDescent="0.3">
      <c r="A80" s="15" t="s">
        <v>244</v>
      </c>
      <c r="B80" s="6" t="s">
        <v>245</v>
      </c>
      <c r="C80" s="6">
        <v>20</v>
      </c>
    </row>
    <row r="81" spans="1:3" x14ac:dyDescent="0.3">
      <c r="A81" s="16" t="s">
        <v>246</v>
      </c>
      <c r="B81" s="17" t="s">
        <v>247</v>
      </c>
      <c r="C81" s="17">
        <v>20</v>
      </c>
    </row>
    <row r="82" spans="1:3" x14ac:dyDescent="0.3">
      <c r="A82" s="15" t="s">
        <v>248</v>
      </c>
      <c r="B82" s="6" t="s">
        <v>249</v>
      </c>
      <c r="C82" s="6">
        <v>28</v>
      </c>
    </row>
    <row r="83" spans="1:3" x14ac:dyDescent="0.3">
      <c r="A83" s="16" t="s">
        <v>250</v>
      </c>
      <c r="B83" s="17" t="s">
        <v>251</v>
      </c>
      <c r="C83" s="17">
        <v>22</v>
      </c>
    </row>
    <row r="84" spans="1:3" x14ac:dyDescent="0.3">
      <c r="A84" s="15" t="s">
        <v>252</v>
      </c>
      <c r="B84" s="6" t="s">
        <v>253</v>
      </c>
      <c r="C84" s="6">
        <v>28</v>
      </c>
    </row>
    <row r="85" spans="1:3" x14ac:dyDescent="0.3">
      <c r="A85" s="16" t="s">
        <v>254</v>
      </c>
      <c r="B85" s="17" t="s">
        <v>255</v>
      </c>
      <c r="C85" s="17">
        <v>28</v>
      </c>
    </row>
    <row r="86" spans="1:3" x14ac:dyDescent="0.3">
      <c r="A86" s="15" t="s">
        <v>256</v>
      </c>
      <c r="B86" s="6" t="s">
        <v>257</v>
      </c>
      <c r="C86" s="6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Roteiros</vt:lpstr>
      <vt:lpstr>Capacidade Veículos</vt:lpstr>
      <vt:lpstr>Roteiros!Area_de_impressao</vt:lpstr>
      <vt:lpstr>Roteiros!Titulos_de_impressao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Andrade</dc:creator>
  <cp:lastModifiedBy>Manutenção Tropical Transportes</cp:lastModifiedBy>
  <dcterms:created xsi:type="dcterms:W3CDTF">2015-06-05T18:19:34Z</dcterms:created>
  <dcterms:modified xsi:type="dcterms:W3CDTF">2026-08-12T14:25:00Z</dcterms:modified>
</cp:coreProperties>
</file>